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duque/Desktop/Reto 2/"/>
    </mc:Choice>
  </mc:AlternateContent>
  <xr:revisionPtr revIDLastSave="0" documentId="13_ncr:1_{4BEAB435-BA48-6245-9F9D-8B8CDD696270}" xr6:coauthVersionLast="47" xr6:coauthVersionMax="47" xr10:uidLastSave="{00000000-0000-0000-0000-000000000000}"/>
  <bookViews>
    <workbookView xWindow="4380" yWindow="580" windowWidth="20040" windowHeight="16800" activeTab="5" xr2:uid="{12D1B15B-C66C-4101-A2AD-96391C3035DF}"/>
  </bookViews>
  <sheets>
    <sheet name="Base Datos Heart" sheetId="1" r:id="rId1"/>
    <sheet name="Datos Pronóstico" sheetId="2" r:id="rId2"/>
    <sheet name="Nodo Raiz" sheetId="3" r:id="rId3"/>
    <sheet name="LD - N2" sheetId="4" r:id="rId4"/>
    <sheet name="LD - N3" sheetId="5" r:id="rId5"/>
    <sheet name="Arbol" sheetId="6" r:id="rId6"/>
  </sheets>
  <definedNames>
    <definedName name="_xlnm._FilterDatabase" localSheetId="3" hidden="1">'LD - N2'!$A$15:$P$104</definedName>
    <definedName name="_xlnm._FilterDatabase" localSheetId="2" hidden="1">'Nodo Raiz'!$A$15:$T$195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3" l="1"/>
  <c r="N59" i="5"/>
  <c r="J59" i="5"/>
  <c r="N57" i="5"/>
  <c r="J57" i="5"/>
  <c r="N55" i="5"/>
  <c r="J55" i="5"/>
  <c r="N53" i="5"/>
  <c r="J53" i="5"/>
  <c r="N51" i="5"/>
  <c r="J51" i="5"/>
  <c r="N49" i="5"/>
  <c r="J49" i="5"/>
  <c r="N47" i="5"/>
  <c r="J47" i="5"/>
  <c r="N45" i="5"/>
  <c r="J45" i="5"/>
  <c r="N43" i="5"/>
  <c r="J43" i="5"/>
  <c r="N41" i="5"/>
  <c r="J41" i="5"/>
  <c r="N39" i="5"/>
  <c r="J39" i="5"/>
  <c r="N37" i="5"/>
  <c r="J37" i="5"/>
  <c r="N35" i="5"/>
  <c r="J35" i="5"/>
  <c r="N33" i="5"/>
  <c r="J33" i="5"/>
  <c r="N31" i="5"/>
  <c r="J31" i="5"/>
  <c r="N29" i="5"/>
  <c r="J29" i="5"/>
  <c r="N27" i="5"/>
  <c r="J27" i="5"/>
  <c r="N25" i="5"/>
  <c r="J25" i="5"/>
  <c r="N23" i="5"/>
  <c r="J23" i="5"/>
  <c r="N21" i="5"/>
  <c r="J21" i="5"/>
  <c r="N19" i="5"/>
  <c r="J19" i="5"/>
  <c r="N17" i="5"/>
  <c r="J17" i="5"/>
  <c r="N1" i="5"/>
  <c r="N60" i="5" s="1"/>
  <c r="J1" i="5"/>
  <c r="J60" i="5" s="1"/>
  <c r="F1" i="5"/>
  <c r="F60" i="5" s="1"/>
  <c r="B1" i="5"/>
  <c r="B56" i="5" s="1"/>
  <c r="B103" i="4"/>
  <c r="B101" i="4"/>
  <c r="B99" i="4"/>
  <c r="B97" i="4"/>
  <c r="B95" i="4"/>
  <c r="B93" i="4"/>
  <c r="B91" i="4"/>
  <c r="B89" i="4"/>
  <c r="B87" i="4"/>
  <c r="B85" i="4"/>
  <c r="B83" i="4"/>
  <c r="B81" i="4"/>
  <c r="B79" i="4"/>
  <c r="B77" i="4"/>
  <c r="B75" i="4"/>
  <c r="B73" i="4"/>
  <c r="B71" i="4"/>
  <c r="J67" i="4"/>
  <c r="B67" i="4"/>
  <c r="J63" i="4"/>
  <c r="B63" i="4"/>
  <c r="J61" i="4"/>
  <c r="J59" i="4"/>
  <c r="B59" i="4"/>
  <c r="J55" i="4"/>
  <c r="B55" i="4"/>
  <c r="J51" i="4"/>
  <c r="B51" i="4"/>
  <c r="J47" i="4"/>
  <c r="B47" i="4"/>
  <c r="J45" i="4"/>
  <c r="J43" i="4"/>
  <c r="B43" i="4"/>
  <c r="J39" i="4"/>
  <c r="B39" i="4"/>
  <c r="J35" i="4"/>
  <c r="B35" i="4"/>
  <c r="J31" i="4"/>
  <c r="B31" i="4"/>
  <c r="J29" i="4"/>
  <c r="J27" i="4"/>
  <c r="B27" i="4"/>
  <c r="J23" i="4"/>
  <c r="B23" i="4"/>
  <c r="J19" i="4"/>
  <c r="B19" i="4"/>
  <c r="N1" i="4"/>
  <c r="N104" i="4" s="1"/>
  <c r="J1" i="4"/>
  <c r="J104" i="4" s="1"/>
  <c r="F1" i="4"/>
  <c r="F104" i="4" s="1"/>
  <c r="B1" i="4"/>
  <c r="B34" i="4" s="1"/>
  <c r="K13" i="3"/>
  <c r="G13" i="3"/>
  <c r="C13" i="3"/>
  <c r="N10" i="3"/>
  <c r="N9" i="3"/>
  <c r="N8" i="3"/>
  <c r="J10" i="3"/>
  <c r="J9" i="3"/>
  <c r="J8" i="3"/>
  <c r="B17" i="5" l="1"/>
  <c r="B19" i="5"/>
  <c r="B21" i="5"/>
  <c r="B23" i="5"/>
  <c r="B25" i="5"/>
  <c r="B27" i="5"/>
  <c r="B29" i="5"/>
  <c r="B31" i="5"/>
  <c r="B33" i="5"/>
  <c r="B35" i="5"/>
  <c r="B37" i="5"/>
  <c r="B39" i="5"/>
  <c r="B41" i="5"/>
  <c r="B43" i="5"/>
  <c r="B45" i="5"/>
  <c r="B47" i="5"/>
  <c r="B49" i="5"/>
  <c r="B51" i="5"/>
  <c r="B53" i="5"/>
  <c r="B55" i="5"/>
  <c r="B57" i="5"/>
  <c r="B59" i="5"/>
  <c r="F17" i="5"/>
  <c r="F19" i="5"/>
  <c r="F21" i="5"/>
  <c r="F23" i="5"/>
  <c r="F25" i="5"/>
  <c r="F27" i="5"/>
  <c r="F29" i="5"/>
  <c r="F31" i="5"/>
  <c r="F33" i="5"/>
  <c r="F35" i="5"/>
  <c r="F37" i="5"/>
  <c r="F39" i="5"/>
  <c r="F41" i="5"/>
  <c r="F43" i="5"/>
  <c r="F45" i="5"/>
  <c r="F47" i="5"/>
  <c r="F49" i="5"/>
  <c r="F51" i="5"/>
  <c r="F53" i="5"/>
  <c r="F55" i="5"/>
  <c r="F57" i="5"/>
  <c r="F59" i="5"/>
  <c r="B18" i="5"/>
  <c r="B22" i="5"/>
  <c r="B28" i="5"/>
  <c r="B34" i="5"/>
  <c r="B40" i="5"/>
  <c r="B44" i="5"/>
  <c r="B50" i="5"/>
  <c r="B60" i="5"/>
  <c r="F16" i="5"/>
  <c r="F18" i="5"/>
  <c r="F20" i="5"/>
  <c r="F22" i="5"/>
  <c r="F24" i="5"/>
  <c r="F26" i="5"/>
  <c r="F28" i="5"/>
  <c r="F30" i="5"/>
  <c r="F32" i="5"/>
  <c r="F34" i="5"/>
  <c r="F36" i="5"/>
  <c r="F38" i="5"/>
  <c r="F40" i="5"/>
  <c r="F42" i="5"/>
  <c r="F44" i="5"/>
  <c r="F46" i="5"/>
  <c r="F48" i="5"/>
  <c r="F50" i="5"/>
  <c r="F52" i="5"/>
  <c r="F54" i="5"/>
  <c r="F56" i="5"/>
  <c r="F58" i="5"/>
  <c r="B16" i="5"/>
  <c r="B24" i="5"/>
  <c r="B30" i="5"/>
  <c r="B36" i="5"/>
  <c r="B42" i="5"/>
  <c r="B48" i="5"/>
  <c r="B52" i="5"/>
  <c r="B54" i="5"/>
  <c r="B58" i="5"/>
  <c r="J16" i="5"/>
  <c r="J18" i="5"/>
  <c r="J20" i="5"/>
  <c r="J22" i="5"/>
  <c r="J24" i="5"/>
  <c r="J26" i="5"/>
  <c r="J28" i="5"/>
  <c r="J30" i="5"/>
  <c r="J32" i="5"/>
  <c r="J34" i="5"/>
  <c r="J36" i="5"/>
  <c r="J38" i="5"/>
  <c r="J40" i="5"/>
  <c r="J42" i="5"/>
  <c r="J44" i="5"/>
  <c r="J46" i="5"/>
  <c r="J48" i="5"/>
  <c r="J50" i="5"/>
  <c r="J52" i="5"/>
  <c r="J54" i="5"/>
  <c r="J56" i="5"/>
  <c r="J58" i="5"/>
  <c r="B20" i="5"/>
  <c r="B26" i="5"/>
  <c r="B32" i="5"/>
  <c r="B38" i="5"/>
  <c r="B46" i="5"/>
  <c r="N16" i="5"/>
  <c r="N18" i="5"/>
  <c r="N20" i="5"/>
  <c r="N22" i="5"/>
  <c r="N24" i="5"/>
  <c r="N26" i="5"/>
  <c r="N28" i="5"/>
  <c r="N30" i="5"/>
  <c r="N32" i="5"/>
  <c r="N34" i="5"/>
  <c r="N36" i="5"/>
  <c r="N38" i="5"/>
  <c r="N40" i="5"/>
  <c r="N42" i="5"/>
  <c r="N44" i="5"/>
  <c r="N46" i="5"/>
  <c r="N48" i="5"/>
  <c r="N50" i="5"/>
  <c r="N52" i="5"/>
  <c r="N54" i="5"/>
  <c r="N56" i="5"/>
  <c r="N58" i="5"/>
  <c r="F29" i="4"/>
  <c r="F45" i="4"/>
  <c r="F61" i="4"/>
  <c r="F19" i="4"/>
  <c r="B25" i="4"/>
  <c r="F35" i="4"/>
  <c r="B41" i="4"/>
  <c r="F51" i="4"/>
  <c r="B57" i="4"/>
  <c r="F67" i="4"/>
  <c r="F73" i="4"/>
  <c r="F81" i="4"/>
  <c r="F89" i="4"/>
  <c r="F97" i="4"/>
  <c r="F25" i="4"/>
  <c r="F41" i="4"/>
  <c r="F57" i="4"/>
  <c r="B21" i="4"/>
  <c r="J25" i="4"/>
  <c r="F31" i="4"/>
  <c r="B37" i="4"/>
  <c r="J41" i="4"/>
  <c r="F47" i="4"/>
  <c r="B53" i="4"/>
  <c r="J57" i="4"/>
  <c r="F63" i="4"/>
  <c r="B69" i="4"/>
  <c r="F75" i="4"/>
  <c r="F83" i="4"/>
  <c r="F91" i="4"/>
  <c r="F99" i="4"/>
  <c r="F21" i="4"/>
  <c r="F37" i="4"/>
  <c r="F53" i="4"/>
  <c r="F69" i="4"/>
  <c r="B17" i="4"/>
  <c r="J21" i="4"/>
  <c r="F27" i="4"/>
  <c r="B33" i="4"/>
  <c r="J37" i="4"/>
  <c r="F43" i="4"/>
  <c r="B49" i="4"/>
  <c r="J53" i="4"/>
  <c r="F59" i="4"/>
  <c r="B65" i="4"/>
  <c r="J69" i="4"/>
  <c r="F77" i="4"/>
  <c r="F85" i="4"/>
  <c r="F93" i="4"/>
  <c r="F101" i="4"/>
  <c r="F17" i="4"/>
  <c r="F33" i="4"/>
  <c r="F49" i="4"/>
  <c r="F65" i="4"/>
  <c r="J17" i="4"/>
  <c r="F23" i="4"/>
  <c r="B29" i="4"/>
  <c r="J33" i="4"/>
  <c r="F39" i="4"/>
  <c r="B45" i="4"/>
  <c r="J49" i="4"/>
  <c r="F55" i="4"/>
  <c r="B61" i="4"/>
  <c r="J65" i="4"/>
  <c r="F71" i="4"/>
  <c r="F79" i="4"/>
  <c r="F87" i="4"/>
  <c r="F95" i="4"/>
  <c r="F103" i="4"/>
  <c r="J71" i="4"/>
  <c r="J73" i="4"/>
  <c r="J75" i="4"/>
  <c r="J77" i="4"/>
  <c r="J79" i="4"/>
  <c r="J81" i="4"/>
  <c r="J83" i="4"/>
  <c r="J85" i="4"/>
  <c r="J87" i="4"/>
  <c r="J89" i="4"/>
  <c r="J91" i="4"/>
  <c r="J93" i="4"/>
  <c r="J95" i="4"/>
  <c r="J97" i="4"/>
  <c r="J99" i="4"/>
  <c r="J101" i="4"/>
  <c r="J103" i="4"/>
  <c r="N17" i="4"/>
  <c r="N19" i="4"/>
  <c r="N21" i="4"/>
  <c r="N23" i="4"/>
  <c r="N25" i="4"/>
  <c r="N27" i="4"/>
  <c r="N29" i="4"/>
  <c r="N31" i="4"/>
  <c r="N33" i="4"/>
  <c r="N35" i="4"/>
  <c r="N37" i="4"/>
  <c r="N39" i="4"/>
  <c r="N41" i="4"/>
  <c r="N43" i="4"/>
  <c r="N45" i="4"/>
  <c r="N47" i="4"/>
  <c r="N49" i="4"/>
  <c r="N51" i="4"/>
  <c r="N53" i="4"/>
  <c r="N55" i="4"/>
  <c r="N57" i="4"/>
  <c r="N59" i="4"/>
  <c r="N61" i="4"/>
  <c r="N63" i="4"/>
  <c r="N65" i="4"/>
  <c r="N67" i="4"/>
  <c r="N69" i="4"/>
  <c r="N71" i="4"/>
  <c r="N73" i="4"/>
  <c r="N75" i="4"/>
  <c r="N77" i="4"/>
  <c r="N79" i="4"/>
  <c r="N81" i="4"/>
  <c r="N83" i="4"/>
  <c r="N85" i="4"/>
  <c r="N87" i="4"/>
  <c r="N89" i="4"/>
  <c r="N91" i="4"/>
  <c r="N93" i="4"/>
  <c r="N95" i="4"/>
  <c r="N97" i="4"/>
  <c r="N99" i="4"/>
  <c r="N101" i="4"/>
  <c r="N103" i="4"/>
  <c r="B26" i="4"/>
  <c r="B36" i="4"/>
  <c r="B42" i="4"/>
  <c r="B44" i="4"/>
  <c r="B46" i="4"/>
  <c r="B50" i="4"/>
  <c r="B52" i="4"/>
  <c r="B54" i="4"/>
  <c r="B56" i="4"/>
  <c r="B58" i="4"/>
  <c r="B60" i="4"/>
  <c r="B62" i="4"/>
  <c r="B64" i="4"/>
  <c r="B66" i="4"/>
  <c r="B68" i="4"/>
  <c r="B70" i="4"/>
  <c r="B72" i="4"/>
  <c r="B74" i="4"/>
  <c r="B76" i="4"/>
  <c r="B78" i="4"/>
  <c r="B80" i="4"/>
  <c r="B82" i="4"/>
  <c r="B84" i="4"/>
  <c r="B86" i="4"/>
  <c r="B88" i="4"/>
  <c r="B90" i="4"/>
  <c r="B92" i="4"/>
  <c r="B94" i="4"/>
  <c r="B96" i="4"/>
  <c r="B98" i="4"/>
  <c r="B100" i="4"/>
  <c r="B102" i="4"/>
  <c r="B104" i="4"/>
  <c r="B16" i="4"/>
  <c r="B20" i="4"/>
  <c r="B22" i="4"/>
  <c r="B24" i="4"/>
  <c r="B28" i="4"/>
  <c r="B30" i="4"/>
  <c r="B32" i="4"/>
  <c r="B38" i="4"/>
  <c r="B40" i="4"/>
  <c r="B48" i="4"/>
  <c r="F16" i="4"/>
  <c r="F18" i="4"/>
  <c r="F20" i="4"/>
  <c r="F22" i="4"/>
  <c r="F24" i="4"/>
  <c r="F26" i="4"/>
  <c r="F28" i="4"/>
  <c r="F30" i="4"/>
  <c r="F32" i="4"/>
  <c r="F34" i="4"/>
  <c r="F36" i="4"/>
  <c r="F38" i="4"/>
  <c r="F40" i="4"/>
  <c r="F42" i="4"/>
  <c r="F44" i="4"/>
  <c r="F46" i="4"/>
  <c r="F48" i="4"/>
  <c r="F50" i="4"/>
  <c r="F52" i="4"/>
  <c r="F54" i="4"/>
  <c r="F56" i="4"/>
  <c r="F58" i="4"/>
  <c r="F60" i="4"/>
  <c r="F62" i="4"/>
  <c r="F64" i="4"/>
  <c r="F66" i="4"/>
  <c r="F68" i="4"/>
  <c r="F70" i="4"/>
  <c r="F72" i="4"/>
  <c r="F74" i="4"/>
  <c r="F76" i="4"/>
  <c r="F78" i="4"/>
  <c r="F80" i="4"/>
  <c r="F82" i="4"/>
  <c r="F84" i="4"/>
  <c r="F86" i="4"/>
  <c r="F88" i="4"/>
  <c r="F90" i="4"/>
  <c r="F92" i="4"/>
  <c r="F94" i="4"/>
  <c r="F96" i="4"/>
  <c r="F98" i="4"/>
  <c r="F100" i="4"/>
  <c r="F102" i="4"/>
  <c r="J16" i="4"/>
  <c r="J18" i="4"/>
  <c r="J20" i="4"/>
  <c r="J22" i="4"/>
  <c r="J24" i="4"/>
  <c r="J26" i="4"/>
  <c r="J28" i="4"/>
  <c r="J30" i="4"/>
  <c r="J32" i="4"/>
  <c r="J34" i="4"/>
  <c r="J36" i="4"/>
  <c r="J38" i="4"/>
  <c r="J40" i="4"/>
  <c r="J42" i="4"/>
  <c r="J44" i="4"/>
  <c r="J46" i="4"/>
  <c r="J48" i="4"/>
  <c r="J50" i="4"/>
  <c r="J52" i="4"/>
  <c r="J54" i="4"/>
  <c r="J56" i="4"/>
  <c r="J58" i="4"/>
  <c r="J60" i="4"/>
  <c r="J62" i="4"/>
  <c r="J64" i="4"/>
  <c r="J66" i="4"/>
  <c r="J68" i="4"/>
  <c r="J70" i="4"/>
  <c r="J72" i="4"/>
  <c r="J74" i="4"/>
  <c r="J76" i="4"/>
  <c r="J78" i="4"/>
  <c r="J80" i="4"/>
  <c r="J82" i="4"/>
  <c r="J84" i="4"/>
  <c r="J86" i="4"/>
  <c r="J88" i="4"/>
  <c r="J90" i="4"/>
  <c r="J92" i="4"/>
  <c r="J94" i="4"/>
  <c r="J96" i="4"/>
  <c r="J98" i="4"/>
  <c r="J100" i="4"/>
  <c r="J102" i="4"/>
  <c r="B18" i="4"/>
  <c r="N16" i="4"/>
  <c r="N18" i="4"/>
  <c r="N20" i="4"/>
  <c r="N22" i="4"/>
  <c r="N24" i="4"/>
  <c r="N26" i="4"/>
  <c r="N28" i="4"/>
  <c r="N30" i="4"/>
  <c r="N32" i="4"/>
  <c r="N34" i="4"/>
  <c r="N36" i="4"/>
  <c r="N38" i="4"/>
  <c r="N40" i="4"/>
  <c r="N42" i="4"/>
  <c r="N44" i="4"/>
  <c r="N46" i="4"/>
  <c r="N48" i="4"/>
  <c r="N50" i="4"/>
  <c r="N52" i="4"/>
  <c r="N54" i="4"/>
  <c r="N56" i="4"/>
  <c r="N58" i="4"/>
  <c r="N60" i="4"/>
  <c r="N62" i="4"/>
  <c r="N64" i="4"/>
  <c r="N66" i="4"/>
  <c r="N68" i="4"/>
  <c r="N70" i="4"/>
  <c r="N72" i="4"/>
  <c r="N74" i="4"/>
  <c r="N76" i="4"/>
  <c r="N78" i="4"/>
  <c r="N80" i="4"/>
  <c r="N82" i="4"/>
  <c r="N84" i="4"/>
  <c r="N86" i="4"/>
  <c r="N88" i="4"/>
  <c r="N90" i="4"/>
  <c r="N92" i="4"/>
  <c r="N94" i="4"/>
  <c r="N96" i="4"/>
  <c r="N98" i="4"/>
  <c r="N100" i="4"/>
  <c r="N102" i="4"/>
  <c r="N3" i="5" l="1"/>
  <c r="N5" i="5"/>
  <c r="N9" i="5"/>
  <c r="O9" i="5" s="1"/>
  <c r="N8" i="5"/>
  <c r="N10" i="5"/>
  <c r="O10" i="5" s="1"/>
  <c r="N4" i="5"/>
  <c r="O4" i="5" s="1"/>
  <c r="F10" i="5"/>
  <c r="F9" i="5"/>
  <c r="G9" i="5" s="1"/>
  <c r="F5" i="5"/>
  <c r="F4" i="5"/>
  <c r="G4" i="5" s="1"/>
  <c r="F8" i="5"/>
  <c r="F3" i="5"/>
  <c r="B5" i="5"/>
  <c r="B9" i="5"/>
  <c r="C9" i="5" s="1"/>
  <c r="B4" i="5"/>
  <c r="C4" i="5" s="1"/>
  <c r="B10" i="5"/>
  <c r="C10" i="5" s="1"/>
  <c r="B8" i="5"/>
  <c r="B3" i="5"/>
  <c r="J3" i="5"/>
  <c r="J8" i="5"/>
  <c r="J10" i="5"/>
  <c r="K10" i="5" s="1"/>
  <c r="J9" i="5"/>
  <c r="K9" i="5" s="1"/>
  <c r="K11" i="5" s="1"/>
  <c r="J5" i="5"/>
  <c r="J4" i="5"/>
  <c r="K4" i="5" s="1"/>
  <c r="B10" i="4"/>
  <c r="C10" i="4" s="1"/>
  <c r="B4" i="4"/>
  <c r="B8" i="4"/>
  <c r="B3" i="4"/>
  <c r="B9" i="4"/>
  <c r="C9" i="4" s="1"/>
  <c r="C11" i="4" s="1"/>
  <c r="B5" i="4"/>
  <c r="J3" i="4"/>
  <c r="J10" i="4"/>
  <c r="K10" i="4" s="1"/>
  <c r="J4" i="4"/>
  <c r="J5" i="4"/>
  <c r="J8" i="4"/>
  <c r="J9" i="4"/>
  <c r="K9" i="4" s="1"/>
  <c r="N10" i="4"/>
  <c r="O10" i="4" s="1"/>
  <c r="N9" i="4"/>
  <c r="O9" i="4" s="1"/>
  <c r="N4" i="4"/>
  <c r="N5" i="4"/>
  <c r="N8" i="4"/>
  <c r="N3" i="4"/>
  <c r="F10" i="4"/>
  <c r="F9" i="4"/>
  <c r="F5" i="4"/>
  <c r="F4" i="4"/>
  <c r="F8" i="4"/>
  <c r="F3" i="4"/>
  <c r="C5" i="5" l="1"/>
  <c r="C6" i="5" s="1"/>
  <c r="C13" i="5" s="1"/>
  <c r="G10" i="5"/>
  <c r="K5" i="5"/>
  <c r="K6" i="5" s="1"/>
  <c r="K13" i="5" s="1"/>
  <c r="G11" i="5"/>
  <c r="G13" i="5"/>
  <c r="O11" i="5"/>
  <c r="O5" i="5"/>
  <c r="O6" i="5" s="1"/>
  <c r="O13" i="5" s="1"/>
  <c r="G5" i="5"/>
  <c r="G6" i="5"/>
  <c r="C11" i="5"/>
  <c r="O4" i="4"/>
  <c r="G4" i="4"/>
  <c r="O11" i="4"/>
  <c r="K11" i="4"/>
  <c r="G10" i="4"/>
  <c r="O6" i="4"/>
  <c r="O13" i="4" s="1"/>
  <c r="O5" i="4"/>
  <c r="G9" i="4"/>
  <c r="C4" i="4"/>
  <c r="K4" i="4"/>
  <c r="K5" i="4" l="1"/>
  <c r="K6" i="4" s="1"/>
  <c r="K13" i="4" s="1"/>
  <c r="C5" i="4"/>
  <c r="C6" i="4"/>
  <c r="C13" i="4" s="1"/>
  <c r="G11" i="4"/>
  <c r="G5" i="4"/>
  <c r="G6" i="4"/>
  <c r="G13" i="4" s="1"/>
  <c r="N37" i="3"/>
  <c r="N38" i="3"/>
  <c r="N39" i="3"/>
  <c r="N69" i="3"/>
  <c r="N70" i="3"/>
  <c r="N71" i="3"/>
  <c r="N87" i="3"/>
  <c r="N95" i="3"/>
  <c r="N96" i="3"/>
  <c r="N100" i="3"/>
  <c r="N120" i="3"/>
  <c r="N124" i="3"/>
  <c r="N125" i="3"/>
  <c r="N148" i="3"/>
  <c r="N149" i="3"/>
  <c r="N150" i="3"/>
  <c r="N165" i="3"/>
  <c r="N173" i="3"/>
  <c r="N174" i="3"/>
  <c r="N175" i="3"/>
  <c r="N190" i="3"/>
  <c r="J18" i="3"/>
  <c r="J19" i="3"/>
  <c r="J20" i="3"/>
  <c r="J35" i="3"/>
  <c r="J43" i="3"/>
  <c r="J44" i="3"/>
  <c r="J48" i="3"/>
  <c r="J60" i="3"/>
  <c r="J68" i="3"/>
  <c r="J72" i="3"/>
  <c r="J73" i="3"/>
  <c r="J88" i="3"/>
  <c r="J96" i="3"/>
  <c r="J97" i="3"/>
  <c r="J98" i="3"/>
  <c r="J113" i="3"/>
  <c r="J121" i="3"/>
  <c r="J122" i="3"/>
  <c r="J123" i="3"/>
  <c r="J138" i="3"/>
  <c r="J146" i="3"/>
  <c r="J147" i="3"/>
  <c r="J148" i="3"/>
  <c r="J163" i="3"/>
  <c r="J171" i="3"/>
  <c r="J172" i="3"/>
  <c r="J176" i="3"/>
  <c r="J188" i="3"/>
  <c r="F17" i="3"/>
  <c r="F21" i="3"/>
  <c r="F22" i="3"/>
  <c r="F23" i="3"/>
  <c r="F31" i="3"/>
  <c r="F32" i="3"/>
  <c r="F33" i="3"/>
  <c r="F37" i="3"/>
  <c r="F45" i="3"/>
  <c r="F46" i="3"/>
  <c r="F47" i="3"/>
  <c r="F48" i="3"/>
  <c r="F56" i="3"/>
  <c r="F57" i="3"/>
  <c r="F61" i="3"/>
  <c r="F62" i="3"/>
  <c r="F70" i="3"/>
  <c r="F71" i="3"/>
  <c r="F72" i="3"/>
  <c r="F73" i="3"/>
  <c r="F81" i="3"/>
  <c r="F85" i="3"/>
  <c r="F86" i="3"/>
  <c r="F87" i="3"/>
  <c r="F95" i="3"/>
  <c r="F96" i="3"/>
  <c r="F97" i="3"/>
  <c r="F101" i="3"/>
  <c r="F109" i="3"/>
  <c r="F110" i="3"/>
  <c r="F111" i="3"/>
  <c r="F112" i="3"/>
  <c r="F120" i="3"/>
  <c r="F121" i="3"/>
  <c r="F125" i="3"/>
  <c r="F126" i="3"/>
  <c r="F134" i="3"/>
  <c r="F135" i="3"/>
  <c r="F136" i="3"/>
  <c r="F137" i="3"/>
  <c r="F145" i="3"/>
  <c r="F149" i="3"/>
  <c r="F150" i="3"/>
  <c r="F151" i="3"/>
  <c r="F159" i="3"/>
  <c r="F160" i="3"/>
  <c r="F161" i="3"/>
  <c r="F165" i="3"/>
  <c r="F173" i="3"/>
  <c r="F174" i="3"/>
  <c r="F175" i="3"/>
  <c r="F176" i="3"/>
  <c r="F184" i="3"/>
  <c r="F185" i="3"/>
  <c r="F189" i="3"/>
  <c r="F190" i="3"/>
  <c r="B18" i="3"/>
  <c r="B19" i="3"/>
  <c r="B20" i="3"/>
  <c r="B21" i="3"/>
  <c r="B29" i="3"/>
  <c r="B33" i="3"/>
  <c r="B34" i="3"/>
  <c r="B35" i="3"/>
  <c r="B43" i="3"/>
  <c r="B44" i="3"/>
  <c r="B45" i="3"/>
  <c r="B49" i="3"/>
  <c r="B57" i="3"/>
  <c r="B58" i="3"/>
  <c r="B59" i="3"/>
  <c r="B60" i="3"/>
  <c r="B68" i="3"/>
  <c r="B69" i="3"/>
  <c r="B73" i="3"/>
  <c r="B74" i="3"/>
  <c r="B81" i="3"/>
  <c r="B82" i="3"/>
  <c r="B83" i="3"/>
  <c r="B84" i="3"/>
  <c r="B91" i="3"/>
  <c r="B92" i="3"/>
  <c r="B93" i="3"/>
  <c r="B95" i="3"/>
  <c r="B100" i="3"/>
  <c r="B101" i="3"/>
  <c r="B103" i="3"/>
  <c r="B104" i="3"/>
  <c r="B109" i="3"/>
  <c r="B111" i="3"/>
  <c r="B112" i="3"/>
  <c r="B113" i="3"/>
  <c r="B117" i="3"/>
  <c r="B119" i="3"/>
  <c r="B120" i="3"/>
  <c r="B121" i="3"/>
  <c r="B122" i="3"/>
  <c r="B127" i="3"/>
  <c r="B128" i="3"/>
  <c r="B129" i="3"/>
  <c r="B130" i="3"/>
  <c r="B131" i="3"/>
  <c r="B136" i="3"/>
  <c r="B137" i="3"/>
  <c r="B138" i="3"/>
  <c r="B139" i="3"/>
  <c r="B140" i="3"/>
  <c r="B145" i="3"/>
  <c r="B146" i="3"/>
  <c r="B147" i="3"/>
  <c r="B148" i="3"/>
  <c r="B149" i="3"/>
  <c r="B153" i="3"/>
  <c r="B154" i="3"/>
  <c r="B155" i="3"/>
  <c r="B156" i="3"/>
  <c r="B157" i="3"/>
  <c r="B161" i="3"/>
  <c r="B162" i="3"/>
  <c r="B163" i="3"/>
  <c r="B164" i="3"/>
  <c r="B165" i="3"/>
  <c r="B169" i="3"/>
  <c r="B170" i="3"/>
  <c r="B171" i="3"/>
  <c r="B172" i="3"/>
  <c r="B173" i="3"/>
  <c r="B177" i="3"/>
  <c r="B178" i="3"/>
  <c r="B179" i="3"/>
  <c r="B180" i="3"/>
  <c r="B181" i="3"/>
  <c r="B185" i="3"/>
  <c r="B186" i="3"/>
  <c r="B187" i="3"/>
  <c r="B188" i="3"/>
  <c r="B189" i="3"/>
  <c r="B193" i="3"/>
  <c r="B194" i="3"/>
  <c r="B195" i="3"/>
  <c r="N1" i="3"/>
  <c r="N22" i="3" s="1"/>
  <c r="J1" i="3"/>
  <c r="J34" i="3" s="1"/>
  <c r="F1" i="3"/>
  <c r="F25" i="3" s="1"/>
  <c r="B1" i="3"/>
  <c r="B27" i="3" s="1"/>
  <c r="J177" i="3" l="1"/>
  <c r="J152" i="3"/>
  <c r="J124" i="3"/>
  <c r="J99" i="3"/>
  <c r="J74" i="3"/>
  <c r="J49" i="3"/>
  <c r="J24" i="3"/>
  <c r="N176" i="3"/>
  <c r="N151" i="3"/>
  <c r="N126" i="3"/>
  <c r="N101" i="3"/>
  <c r="N76" i="3"/>
  <c r="N44" i="3"/>
  <c r="N140" i="3"/>
  <c r="N112" i="3"/>
  <c r="N60" i="3"/>
  <c r="N28" i="3"/>
  <c r="J187" i="3"/>
  <c r="J162" i="3"/>
  <c r="J137" i="3"/>
  <c r="J112" i="3"/>
  <c r="J84" i="3"/>
  <c r="J59" i="3"/>
  <c r="N189" i="3"/>
  <c r="N164" i="3"/>
  <c r="N136" i="3"/>
  <c r="N111" i="3"/>
  <c r="N86" i="3"/>
  <c r="N55" i="3"/>
  <c r="N23" i="3"/>
  <c r="J16" i="3"/>
  <c r="J21" i="3"/>
  <c r="J29" i="3"/>
  <c r="J37" i="3"/>
  <c r="J45" i="3"/>
  <c r="J53" i="3"/>
  <c r="J61" i="3"/>
  <c r="J69" i="3"/>
  <c r="J77" i="3"/>
  <c r="J85" i="3"/>
  <c r="J93" i="3"/>
  <c r="J101" i="3"/>
  <c r="J109" i="3"/>
  <c r="J117" i="3"/>
  <c r="J125" i="3"/>
  <c r="J133" i="3"/>
  <c r="J141" i="3"/>
  <c r="J149" i="3"/>
  <c r="J157" i="3"/>
  <c r="J165" i="3"/>
  <c r="J173" i="3"/>
  <c r="J181" i="3"/>
  <c r="J189" i="3"/>
  <c r="J22" i="3"/>
  <c r="J30" i="3"/>
  <c r="J38" i="3"/>
  <c r="J46" i="3"/>
  <c r="J54" i="3"/>
  <c r="J62" i="3"/>
  <c r="J70" i="3"/>
  <c r="J78" i="3"/>
  <c r="J86" i="3"/>
  <c r="J94" i="3"/>
  <c r="J102" i="3"/>
  <c r="J110" i="3"/>
  <c r="J118" i="3"/>
  <c r="J126" i="3"/>
  <c r="J134" i="3"/>
  <c r="J142" i="3"/>
  <c r="J150" i="3"/>
  <c r="J158" i="3"/>
  <c r="J166" i="3"/>
  <c r="J174" i="3"/>
  <c r="J182" i="3"/>
  <c r="J190" i="3"/>
  <c r="J23" i="3"/>
  <c r="J31" i="3"/>
  <c r="J39" i="3"/>
  <c r="J47" i="3"/>
  <c r="J55" i="3"/>
  <c r="J63" i="3"/>
  <c r="J71" i="3"/>
  <c r="J79" i="3"/>
  <c r="J87" i="3"/>
  <c r="J95" i="3"/>
  <c r="J103" i="3"/>
  <c r="J111" i="3"/>
  <c r="J119" i="3"/>
  <c r="J127" i="3"/>
  <c r="J135" i="3"/>
  <c r="J143" i="3"/>
  <c r="J151" i="3"/>
  <c r="J159" i="3"/>
  <c r="J167" i="3"/>
  <c r="J175" i="3"/>
  <c r="J183" i="3"/>
  <c r="J191" i="3"/>
  <c r="J25" i="3"/>
  <c r="J36" i="3"/>
  <c r="J50" i="3"/>
  <c r="J64" i="3"/>
  <c r="J75" i="3"/>
  <c r="J89" i="3"/>
  <c r="J100" i="3"/>
  <c r="J114" i="3"/>
  <c r="J128" i="3"/>
  <c r="J139" i="3"/>
  <c r="J153" i="3"/>
  <c r="J164" i="3"/>
  <c r="J178" i="3"/>
  <c r="J192" i="3"/>
  <c r="J26" i="3"/>
  <c r="J40" i="3"/>
  <c r="J51" i="3"/>
  <c r="J65" i="3"/>
  <c r="J76" i="3"/>
  <c r="J90" i="3"/>
  <c r="J104" i="3"/>
  <c r="J115" i="3"/>
  <c r="J129" i="3"/>
  <c r="J140" i="3"/>
  <c r="J154" i="3"/>
  <c r="J168" i="3"/>
  <c r="J179" i="3"/>
  <c r="J193" i="3"/>
  <c r="J27" i="3"/>
  <c r="J41" i="3"/>
  <c r="J52" i="3"/>
  <c r="J66" i="3"/>
  <c r="J80" i="3"/>
  <c r="J91" i="3"/>
  <c r="J105" i="3"/>
  <c r="J116" i="3"/>
  <c r="J130" i="3"/>
  <c r="J144" i="3"/>
  <c r="J155" i="3"/>
  <c r="J169" i="3"/>
  <c r="J180" i="3"/>
  <c r="J194" i="3"/>
  <c r="J56" i="3"/>
  <c r="J81" i="3"/>
  <c r="J106" i="3"/>
  <c r="J120" i="3"/>
  <c r="J145" i="3"/>
  <c r="J156" i="3"/>
  <c r="J184" i="3"/>
  <c r="J195" i="3"/>
  <c r="J17" i="3"/>
  <c r="J28" i="3"/>
  <c r="J42" i="3"/>
  <c r="J67" i="3"/>
  <c r="J92" i="3"/>
  <c r="J131" i="3"/>
  <c r="J170" i="3"/>
  <c r="J186" i="3"/>
  <c r="J161" i="3"/>
  <c r="J136" i="3"/>
  <c r="J108" i="3"/>
  <c r="J83" i="3"/>
  <c r="J58" i="3"/>
  <c r="J33" i="3"/>
  <c r="N188" i="3"/>
  <c r="N160" i="3"/>
  <c r="N135" i="3"/>
  <c r="N110" i="3"/>
  <c r="N85" i="3"/>
  <c r="N54" i="3"/>
  <c r="N17" i="3"/>
  <c r="N25" i="3"/>
  <c r="N33" i="3"/>
  <c r="N41" i="3"/>
  <c r="N49" i="3"/>
  <c r="N57" i="3"/>
  <c r="N65" i="3"/>
  <c r="N73" i="3"/>
  <c r="N81" i="3"/>
  <c r="N89" i="3"/>
  <c r="N97" i="3"/>
  <c r="N105" i="3"/>
  <c r="N113" i="3"/>
  <c r="N121" i="3"/>
  <c r="N129" i="3"/>
  <c r="N137" i="3"/>
  <c r="N145" i="3"/>
  <c r="N153" i="3"/>
  <c r="N161" i="3"/>
  <c r="N169" i="3"/>
  <c r="N177" i="3"/>
  <c r="N185" i="3"/>
  <c r="N193" i="3"/>
  <c r="N18" i="3"/>
  <c r="N26" i="3"/>
  <c r="N34" i="3"/>
  <c r="N42" i="3"/>
  <c r="N50" i="3"/>
  <c r="N58" i="3"/>
  <c r="N66" i="3"/>
  <c r="N74" i="3"/>
  <c r="N82" i="3"/>
  <c r="N90" i="3"/>
  <c r="N98" i="3"/>
  <c r="N106" i="3"/>
  <c r="N114" i="3"/>
  <c r="N122" i="3"/>
  <c r="N130" i="3"/>
  <c r="N138" i="3"/>
  <c r="N146" i="3"/>
  <c r="N154" i="3"/>
  <c r="N162" i="3"/>
  <c r="N170" i="3"/>
  <c r="N178" i="3"/>
  <c r="N186" i="3"/>
  <c r="N194" i="3"/>
  <c r="N19" i="3"/>
  <c r="N27" i="3"/>
  <c r="N35" i="3"/>
  <c r="N43" i="3"/>
  <c r="N51" i="3"/>
  <c r="N59" i="3"/>
  <c r="N67" i="3"/>
  <c r="N75" i="3"/>
  <c r="N83" i="3"/>
  <c r="N91" i="3"/>
  <c r="N99" i="3"/>
  <c r="N107" i="3"/>
  <c r="N115" i="3"/>
  <c r="N123" i="3"/>
  <c r="N131" i="3"/>
  <c r="N139" i="3"/>
  <c r="N147" i="3"/>
  <c r="N155" i="3"/>
  <c r="N163" i="3"/>
  <c r="N171" i="3"/>
  <c r="N179" i="3"/>
  <c r="N187" i="3"/>
  <c r="N195" i="3"/>
  <c r="N24" i="3"/>
  <c r="N32" i="3"/>
  <c r="N40" i="3"/>
  <c r="N48" i="3"/>
  <c r="N56" i="3"/>
  <c r="N64" i="3"/>
  <c r="N72" i="3"/>
  <c r="N29" i="3"/>
  <c r="N45" i="3"/>
  <c r="N61" i="3"/>
  <c r="N77" i="3"/>
  <c r="N88" i="3"/>
  <c r="N102" i="3"/>
  <c r="N116" i="3"/>
  <c r="N127" i="3"/>
  <c r="N141" i="3"/>
  <c r="N152" i="3"/>
  <c r="N166" i="3"/>
  <c r="N180" i="3"/>
  <c r="N191" i="3"/>
  <c r="N30" i="3"/>
  <c r="N46" i="3"/>
  <c r="N62" i="3"/>
  <c r="N78" i="3"/>
  <c r="N92" i="3"/>
  <c r="N103" i="3"/>
  <c r="N117" i="3"/>
  <c r="N128" i="3"/>
  <c r="N142" i="3"/>
  <c r="N156" i="3"/>
  <c r="N167" i="3"/>
  <c r="N181" i="3"/>
  <c r="N192" i="3"/>
  <c r="N31" i="3"/>
  <c r="N47" i="3"/>
  <c r="N63" i="3"/>
  <c r="N79" i="3"/>
  <c r="N93" i="3"/>
  <c r="N104" i="3"/>
  <c r="N118" i="3"/>
  <c r="N132" i="3"/>
  <c r="N143" i="3"/>
  <c r="N157" i="3"/>
  <c r="N168" i="3"/>
  <c r="N182" i="3"/>
  <c r="N16" i="3"/>
  <c r="N172" i="3"/>
  <c r="N20" i="3"/>
  <c r="N36" i="3"/>
  <c r="N52" i="3"/>
  <c r="N68" i="3"/>
  <c r="N80" i="3"/>
  <c r="N94" i="3"/>
  <c r="N108" i="3"/>
  <c r="N119" i="3"/>
  <c r="N133" i="3"/>
  <c r="N144" i="3"/>
  <c r="N158" i="3"/>
  <c r="N183" i="3"/>
  <c r="J185" i="3"/>
  <c r="J160" i="3"/>
  <c r="J132" i="3"/>
  <c r="J107" i="3"/>
  <c r="J82" i="3"/>
  <c r="J57" i="3"/>
  <c r="J32" i="3"/>
  <c r="N184" i="3"/>
  <c r="N159" i="3"/>
  <c r="N134" i="3"/>
  <c r="N109" i="3"/>
  <c r="N84" i="3"/>
  <c r="N53" i="3"/>
  <c r="N21" i="3"/>
  <c r="B108" i="3"/>
  <c r="B67" i="3"/>
  <c r="B17" i="3"/>
  <c r="F144" i="3"/>
  <c r="F94" i="3"/>
  <c r="F41" i="3"/>
  <c r="B99" i="3"/>
  <c r="B90" i="3"/>
  <c r="B79" i="3"/>
  <c r="B53" i="3"/>
  <c r="B42" i="3"/>
  <c r="B28" i="3"/>
  <c r="F183" i="3"/>
  <c r="F169" i="3"/>
  <c r="F158" i="3"/>
  <c r="F133" i="3"/>
  <c r="F119" i="3"/>
  <c r="F105" i="3"/>
  <c r="F80" i="3"/>
  <c r="F69" i="3"/>
  <c r="F55" i="3"/>
  <c r="F30" i="3"/>
  <c r="B192" i="3"/>
  <c r="B184" i="3"/>
  <c r="B176" i="3"/>
  <c r="B168" i="3"/>
  <c r="B160" i="3"/>
  <c r="B152" i="3"/>
  <c r="B144" i="3"/>
  <c r="B135" i="3"/>
  <c r="B125" i="3"/>
  <c r="B116" i="3"/>
  <c r="B107" i="3"/>
  <c r="B98" i="3"/>
  <c r="B89" i="3"/>
  <c r="B77" i="3"/>
  <c r="B66" i="3"/>
  <c r="B52" i="3"/>
  <c r="B41" i="3"/>
  <c r="F193" i="3"/>
  <c r="F182" i="3"/>
  <c r="F168" i="3"/>
  <c r="F157" i="3"/>
  <c r="F143" i="3"/>
  <c r="F129" i="3"/>
  <c r="F118" i="3"/>
  <c r="F104" i="3"/>
  <c r="F93" i="3"/>
  <c r="F79" i="3"/>
  <c r="F65" i="3"/>
  <c r="F54" i="3"/>
  <c r="F40" i="3"/>
  <c r="F29" i="3"/>
  <c r="B16" i="3"/>
  <c r="B22" i="3"/>
  <c r="B30" i="3"/>
  <c r="B38" i="3"/>
  <c r="B46" i="3"/>
  <c r="B54" i="3"/>
  <c r="B62" i="3"/>
  <c r="B70" i="3"/>
  <c r="B78" i="3"/>
  <c r="B86" i="3"/>
  <c r="B94" i="3"/>
  <c r="B102" i="3"/>
  <c r="B110" i="3"/>
  <c r="B118" i="3"/>
  <c r="B126" i="3"/>
  <c r="B134" i="3"/>
  <c r="B142" i="3"/>
  <c r="B23" i="3"/>
  <c r="B31" i="3"/>
  <c r="B39" i="3"/>
  <c r="B47" i="3"/>
  <c r="B55" i="3"/>
  <c r="B63" i="3"/>
  <c r="B71" i="3"/>
  <c r="B24" i="3"/>
  <c r="B32" i="3"/>
  <c r="B40" i="3"/>
  <c r="B48" i="3"/>
  <c r="B56" i="3"/>
  <c r="B64" i="3"/>
  <c r="B72" i="3"/>
  <c r="B80" i="3"/>
  <c r="B88" i="3"/>
  <c r="B191" i="3"/>
  <c r="B183" i="3"/>
  <c r="B175" i="3"/>
  <c r="B167" i="3"/>
  <c r="B159" i="3"/>
  <c r="B151" i="3"/>
  <c r="B143" i="3"/>
  <c r="B133" i="3"/>
  <c r="B124" i="3"/>
  <c r="B115" i="3"/>
  <c r="B106" i="3"/>
  <c r="B97" i="3"/>
  <c r="B87" i="3"/>
  <c r="B76" i="3"/>
  <c r="B65" i="3"/>
  <c r="B51" i="3"/>
  <c r="B37" i="3"/>
  <c r="B26" i="3"/>
  <c r="F192" i="3"/>
  <c r="F181" i="3"/>
  <c r="F167" i="3"/>
  <c r="F153" i="3"/>
  <c r="F142" i="3"/>
  <c r="F128" i="3"/>
  <c r="F117" i="3"/>
  <c r="F103" i="3"/>
  <c r="F89" i="3"/>
  <c r="F78" i="3"/>
  <c r="F64" i="3"/>
  <c r="F53" i="3"/>
  <c r="F39" i="3"/>
  <c r="F18" i="3"/>
  <c r="F26" i="3"/>
  <c r="F34" i="3"/>
  <c r="F42" i="3"/>
  <c r="F50" i="3"/>
  <c r="F58" i="3"/>
  <c r="F66" i="3"/>
  <c r="F74" i="3"/>
  <c r="F82" i="3"/>
  <c r="F90" i="3"/>
  <c r="F98" i="3"/>
  <c r="F106" i="3"/>
  <c r="F114" i="3"/>
  <c r="F122" i="3"/>
  <c r="F130" i="3"/>
  <c r="F138" i="3"/>
  <c r="F146" i="3"/>
  <c r="F154" i="3"/>
  <c r="F162" i="3"/>
  <c r="F170" i="3"/>
  <c r="F178" i="3"/>
  <c r="F186" i="3"/>
  <c r="F194" i="3"/>
  <c r="F19" i="3"/>
  <c r="F27" i="3"/>
  <c r="F35" i="3"/>
  <c r="F43" i="3"/>
  <c r="F51" i="3"/>
  <c r="F59" i="3"/>
  <c r="F67" i="3"/>
  <c r="F75" i="3"/>
  <c r="F83" i="3"/>
  <c r="F91" i="3"/>
  <c r="F99" i="3"/>
  <c r="F107" i="3"/>
  <c r="F115" i="3"/>
  <c r="F123" i="3"/>
  <c r="F131" i="3"/>
  <c r="F139" i="3"/>
  <c r="F147" i="3"/>
  <c r="F155" i="3"/>
  <c r="F163" i="3"/>
  <c r="F171" i="3"/>
  <c r="F179" i="3"/>
  <c r="F187" i="3"/>
  <c r="F195" i="3"/>
  <c r="F20" i="3"/>
  <c r="F28" i="3"/>
  <c r="F36" i="3"/>
  <c r="F44" i="3"/>
  <c r="F52" i="3"/>
  <c r="F60" i="3"/>
  <c r="F68" i="3"/>
  <c r="F76" i="3"/>
  <c r="F84" i="3"/>
  <c r="F92" i="3"/>
  <c r="F100" i="3"/>
  <c r="F108" i="3"/>
  <c r="F116" i="3"/>
  <c r="F124" i="3"/>
  <c r="F132" i="3"/>
  <c r="F140" i="3"/>
  <c r="F148" i="3"/>
  <c r="F156" i="3"/>
  <c r="F164" i="3"/>
  <c r="F172" i="3"/>
  <c r="F180" i="3"/>
  <c r="F188" i="3"/>
  <c r="F16" i="3"/>
  <c r="B190" i="3"/>
  <c r="B182" i="3"/>
  <c r="B174" i="3"/>
  <c r="B166" i="3"/>
  <c r="B158" i="3"/>
  <c r="B150" i="3"/>
  <c r="B141" i="3"/>
  <c r="B132" i="3"/>
  <c r="B123" i="3"/>
  <c r="B114" i="3"/>
  <c r="B105" i="3"/>
  <c r="B96" i="3"/>
  <c r="B85" i="3"/>
  <c r="B75" i="3"/>
  <c r="B61" i="3"/>
  <c r="B50" i="3"/>
  <c r="B36" i="3"/>
  <c r="B25" i="3"/>
  <c r="F191" i="3"/>
  <c r="F177" i="3"/>
  <c r="F166" i="3"/>
  <c r="F152" i="3"/>
  <c r="F141" i="3"/>
  <c r="F127" i="3"/>
  <c r="F113" i="3"/>
  <c r="F102" i="3"/>
  <c r="F88" i="3"/>
  <c r="F77" i="3"/>
  <c r="F63" i="3"/>
  <c r="F49" i="3"/>
  <c r="F38" i="3"/>
  <c r="F24" i="3"/>
  <c r="O10" i="3"/>
  <c r="O9" i="3"/>
  <c r="K10" i="3"/>
  <c r="K9" i="3"/>
  <c r="K11" i="3" s="1"/>
  <c r="O11" i="3" l="1"/>
  <c r="F4" i="3"/>
  <c r="G4" i="3" s="1"/>
  <c r="F3" i="3"/>
  <c r="F5" i="3"/>
  <c r="F10" i="3"/>
  <c r="G10" i="3" s="1"/>
  <c r="F8" i="3"/>
  <c r="F9" i="3"/>
  <c r="G9" i="3" s="1"/>
  <c r="G11" i="3" s="1"/>
  <c r="J4" i="3"/>
  <c r="K4" i="3" s="1"/>
  <c r="K5" i="3" s="1"/>
  <c r="K6" i="3" s="1"/>
  <c r="J3" i="3"/>
  <c r="J5" i="3"/>
  <c r="B10" i="3"/>
  <c r="B3" i="3"/>
  <c r="B8" i="3"/>
  <c r="B5" i="3"/>
  <c r="B4" i="3"/>
  <c r="C4" i="3" s="1"/>
  <c r="C5" i="3" s="1"/>
  <c r="C6" i="3" s="1"/>
  <c r="B9" i="3"/>
  <c r="C9" i="3" s="1"/>
  <c r="N5" i="3"/>
  <c r="N4" i="3"/>
  <c r="O4" i="3" s="1"/>
  <c r="O5" i="3" s="1"/>
  <c r="O6" i="3" s="1"/>
  <c r="O13" i="3"/>
  <c r="G5" i="3"/>
  <c r="G6" i="3" s="1"/>
  <c r="C10" i="3" l="1"/>
  <c r="C11" i="3" s="1"/>
</calcChain>
</file>

<file path=xl/sharedStrings.xml><?xml version="1.0" encoding="utf-8"?>
<sst xmlns="http://schemas.openxmlformats.org/spreadsheetml/2006/main" count="166" uniqueCount="16">
  <si>
    <t>Disease</t>
  </si>
  <si>
    <t>Age</t>
  </si>
  <si>
    <t>Systolic</t>
  </si>
  <si>
    <t>Diastolic</t>
  </si>
  <si>
    <t>BMI</t>
  </si>
  <si>
    <t>Promedio</t>
  </si>
  <si>
    <t>Debajo</t>
  </si>
  <si>
    <t>0-0</t>
  </si>
  <si>
    <t>0-1</t>
  </si>
  <si>
    <t>I-Gini</t>
  </si>
  <si>
    <t>Encima</t>
  </si>
  <si>
    <t>1-0</t>
  </si>
  <si>
    <t>1-1</t>
  </si>
  <si>
    <t>Total Gini</t>
  </si>
  <si>
    <t>`</t>
  </si>
  <si>
    <t>Clasificación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</si>
</sst>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2" formatCode="_-&quot;$&quot;\ * #,##0_-;\-&quot;$&quot;\ * #,##0_-;_-&quot;$&quot;\ * &quot;-&quot;_-;_-@_-"/>
    <numFmt numFmtId="164" formatCode="0.0%"/>
    <numFmt numFmtId="165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AFFED"/>
        <bgColor indexed="64"/>
      </patternFill>
    </fill>
    <fill>
      <patternFill patternType="solid">
        <fgColor rgb="FFFCEAEF"/>
        <bgColor indexed="64"/>
      </patternFill>
    </fill>
    <fill>
      <patternFill patternType="solid">
        <fgColor rgb="FFFAE7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2" fontId="2" fillId="0" borderId="0" xfId="1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2" fontId="0" fillId="0" borderId="0" xfId="0" applyNumberFormat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quotePrefix="1" applyBorder="1" applyAlignment="1">
      <alignment horizontal="center"/>
    </xf>
    <xf numFmtId="164" fontId="0" fillId="0" borderId="7" xfId="1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9" xfId="0" applyFont="1" applyBorder="1" applyAlignment="1">
      <alignment horizontal="center"/>
    </xf>
    <xf numFmtId="2" fontId="2" fillId="0" borderId="10" xfId="1" applyNumberFormat="1" applyFont="1" applyBorder="1" applyAlignment="1">
      <alignment horizontal="center"/>
    </xf>
    <xf numFmtId="2" fontId="2" fillId="0" borderId="0" xfId="1" applyNumberFormat="1" applyFont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9" fontId="0" fillId="0" borderId="7" xfId="1" applyFont="1" applyBorder="1" applyAlignment="1">
      <alignment horizontal="center" vertical="center"/>
    </xf>
    <xf numFmtId="164" fontId="0" fillId="0" borderId="7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10" fontId="0" fillId="0" borderId="7" xfId="1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1" defaultTableStyle="TableStyleMedium2" defaultPivotStyle="PivotStyleLight16">
    <tableStyle name="Invisible" pivot="0" table="0" count="0" xr9:uid="{9B4424C4-AACD-489E-BC42-71459EB8AA7E}"/>
  </tableStyles>
  <colors>
    <mruColors>
      <color rgb="FFFAE7FF"/>
      <color rgb="FFFCEAEF"/>
      <color rgb="FFF9D8FF"/>
      <color rgb="FFCAFFED"/>
      <color rgb="FFB4F2FF"/>
      <color rgb="FFA4FDFF"/>
      <color rgb="FFAFE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21574</xdr:colOff>
      <xdr:row>1</xdr:row>
      <xdr:rowOff>48198</xdr:rowOff>
    </xdr:from>
    <xdr:to>
      <xdr:col>16</xdr:col>
      <xdr:colOff>422238</xdr:colOff>
      <xdr:row>31</xdr:row>
      <xdr:rowOff>183613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B2AD4A-7DA1-BF17-0956-3A02A743B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839" y="231812"/>
          <a:ext cx="12794640" cy="5643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9DCE-4398-4E9A-B8DB-7F1D5A70D720}">
  <dimension ref="A1:F181"/>
  <sheetViews>
    <sheetView workbookViewId="0">
      <selection activeCell="G29" sqref="G29"/>
    </sheetView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0</v>
      </c>
      <c r="B2" s="1">
        <v>44</v>
      </c>
      <c r="C2" s="1">
        <v>112</v>
      </c>
      <c r="D2" s="1">
        <v>111</v>
      </c>
      <c r="E2" s="1">
        <v>17</v>
      </c>
    </row>
    <row r="3" spans="1:5" x14ac:dyDescent="0.2">
      <c r="A3" s="1">
        <v>1</v>
      </c>
      <c r="B3" s="1">
        <v>55</v>
      </c>
      <c r="C3" s="1">
        <v>128</v>
      </c>
      <c r="D3" s="1">
        <v>90</v>
      </c>
      <c r="E3" s="1">
        <v>27</v>
      </c>
    </row>
    <row r="4" spans="1:5" x14ac:dyDescent="0.2">
      <c r="A4" s="1">
        <v>1</v>
      </c>
      <c r="B4" s="1">
        <v>47</v>
      </c>
      <c r="C4" s="1">
        <v>131</v>
      </c>
      <c r="D4" s="1">
        <v>94</v>
      </c>
      <c r="E4" s="1">
        <v>26</v>
      </c>
    </row>
    <row r="5" spans="1:5" x14ac:dyDescent="0.2">
      <c r="A5" s="1">
        <v>0</v>
      </c>
      <c r="B5" s="1">
        <v>31</v>
      </c>
      <c r="C5" s="1">
        <v>151</v>
      </c>
      <c r="D5" s="1">
        <v>104</v>
      </c>
      <c r="E5" s="1">
        <v>17</v>
      </c>
    </row>
    <row r="6" spans="1:5" x14ac:dyDescent="0.2">
      <c r="A6" s="1">
        <v>1</v>
      </c>
      <c r="B6" s="1">
        <v>65</v>
      </c>
      <c r="C6" s="1">
        <v>148</v>
      </c>
      <c r="D6" s="1">
        <v>117</v>
      </c>
      <c r="E6" s="1">
        <v>17</v>
      </c>
    </row>
    <row r="7" spans="1:5" x14ac:dyDescent="0.2">
      <c r="A7" s="1">
        <v>1</v>
      </c>
      <c r="B7" s="1">
        <v>37</v>
      </c>
      <c r="C7" s="1">
        <v>137</v>
      </c>
      <c r="D7" s="1">
        <v>66</v>
      </c>
      <c r="E7" s="1">
        <v>39</v>
      </c>
    </row>
    <row r="8" spans="1:5" x14ac:dyDescent="0.2">
      <c r="A8" s="1">
        <v>1</v>
      </c>
      <c r="B8" s="1">
        <v>64</v>
      </c>
      <c r="C8" s="1">
        <v>152</v>
      </c>
      <c r="D8" s="1">
        <v>92</v>
      </c>
      <c r="E8" s="1">
        <v>30</v>
      </c>
    </row>
    <row r="9" spans="1:5" x14ac:dyDescent="0.2">
      <c r="A9" s="1">
        <v>1</v>
      </c>
      <c r="B9" s="1">
        <v>65</v>
      </c>
      <c r="C9" s="1">
        <v>136</v>
      </c>
      <c r="D9" s="1">
        <v>92</v>
      </c>
      <c r="E9" s="1">
        <v>33</v>
      </c>
    </row>
    <row r="10" spans="1:5" x14ac:dyDescent="0.2">
      <c r="A10" s="1">
        <v>1</v>
      </c>
      <c r="B10" s="1">
        <v>55</v>
      </c>
      <c r="C10" s="1">
        <v>142</v>
      </c>
      <c r="D10" s="1">
        <v>88</v>
      </c>
      <c r="E10" s="1">
        <v>36</v>
      </c>
    </row>
    <row r="11" spans="1:5" x14ac:dyDescent="0.2">
      <c r="A11" s="1">
        <v>1</v>
      </c>
      <c r="B11" s="1">
        <v>50</v>
      </c>
      <c r="C11" s="1">
        <v>131</v>
      </c>
      <c r="D11" s="1">
        <v>107</v>
      </c>
      <c r="E11" s="1">
        <v>19</v>
      </c>
    </row>
    <row r="12" spans="1:5" x14ac:dyDescent="0.2">
      <c r="A12" s="1">
        <v>1</v>
      </c>
      <c r="B12" s="1">
        <v>39</v>
      </c>
      <c r="C12" s="1">
        <v>112</v>
      </c>
      <c r="D12" s="1">
        <v>93</v>
      </c>
      <c r="E12" s="1">
        <v>27</v>
      </c>
    </row>
    <row r="13" spans="1:5" x14ac:dyDescent="0.2">
      <c r="A13" s="1">
        <v>1</v>
      </c>
      <c r="B13" s="1">
        <v>61</v>
      </c>
      <c r="C13" s="1">
        <v>139</v>
      </c>
      <c r="D13" s="1">
        <v>117</v>
      </c>
      <c r="E13" s="1">
        <v>38</v>
      </c>
    </row>
    <row r="14" spans="1:5" x14ac:dyDescent="0.2">
      <c r="A14" s="1">
        <v>1</v>
      </c>
      <c r="B14" s="1">
        <v>33</v>
      </c>
      <c r="C14" s="1">
        <v>152</v>
      </c>
      <c r="D14" s="1">
        <v>74</v>
      </c>
      <c r="E14" s="1">
        <v>41</v>
      </c>
    </row>
    <row r="15" spans="1:5" x14ac:dyDescent="0.2">
      <c r="A15" s="1">
        <v>0</v>
      </c>
      <c r="B15" s="1">
        <v>28</v>
      </c>
      <c r="C15" s="1">
        <v>118</v>
      </c>
      <c r="D15" s="1">
        <v>70</v>
      </c>
      <c r="E15" s="1">
        <v>26</v>
      </c>
    </row>
    <row r="16" spans="1:5" x14ac:dyDescent="0.2">
      <c r="A16" s="1">
        <v>1</v>
      </c>
      <c r="B16" s="1">
        <v>62</v>
      </c>
      <c r="C16" s="1">
        <v>126</v>
      </c>
      <c r="D16" s="1">
        <v>120</v>
      </c>
      <c r="E16" s="1">
        <v>37</v>
      </c>
    </row>
    <row r="17" spans="1:5" x14ac:dyDescent="0.2">
      <c r="A17" s="1">
        <v>1</v>
      </c>
      <c r="B17" s="1">
        <v>33</v>
      </c>
      <c r="C17" s="1">
        <v>104</v>
      </c>
      <c r="D17" s="1">
        <v>71</v>
      </c>
      <c r="E17" s="1">
        <v>22</v>
      </c>
    </row>
    <row r="18" spans="1:5" x14ac:dyDescent="0.2">
      <c r="A18" s="1">
        <v>0</v>
      </c>
      <c r="B18" s="1">
        <v>32</v>
      </c>
      <c r="C18" s="1">
        <v>124</v>
      </c>
      <c r="D18" s="1">
        <v>91</v>
      </c>
      <c r="E18" s="1">
        <v>16</v>
      </c>
    </row>
    <row r="19" spans="1:5" x14ac:dyDescent="0.2">
      <c r="A19" s="1">
        <v>0</v>
      </c>
      <c r="B19" s="1">
        <v>38</v>
      </c>
      <c r="C19" s="1">
        <v>141</v>
      </c>
      <c r="D19" s="1">
        <v>86</v>
      </c>
      <c r="E19" s="1">
        <v>22</v>
      </c>
    </row>
    <row r="20" spans="1:5" x14ac:dyDescent="0.2">
      <c r="A20" s="1">
        <v>1</v>
      </c>
      <c r="B20" s="1">
        <v>68</v>
      </c>
      <c r="C20" s="1">
        <v>126</v>
      </c>
      <c r="D20" s="1">
        <v>65</v>
      </c>
      <c r="E20" s="1">
        <v>19</v>
      </c>
    </row>
    <row r="21" spans="1:5" x14ac:dyDescent="0.2">
      <c r="A21" s="1">
        <v>0</v>
      </c>
      <c r="B21" s="1">
        <v>25</v>
      </c>
      <c r="C21" s="1">
        <v>148</v>
      </c>
      <c r="D21" s="1">
        <v>70</v>
      </c>
      <c r="E21" s="1">
        <v>34</v>
      </c>
    </row>
    <row r="22" spans="1:5" x14ac:dyDescent="0.2">
      <c r="A22" s="1">
        <v>0</v>
      </c>
      <c r="B22" s="1">
        <v>45</v>
      </c>
      <c r="C22" s="1">
        <v>150</v>
      </c>
      <c r="D22" s="1">
        <v>111</v>
      </c>
      <c r="E22" s="1">
        <v>22</v>
      </c>
    </row>
    <row r="23" spans="1:5" x14ac:dyDescent="0.2">
      <c r="A23" s="1">
        <v>1</v>
      </c>
      <c r="B23" s="1">
        <v>42</v>
      </c>
      <c r="C23" s="1">
        <v>127</v>
      </c>
      <c r="D23" s="1">
        <v>94</v>
      </c>
      <c r="E23" s="1">
        <v>28</v>
      </c>
    </row>
    <row r="24" spans="1:5" x14ac:dyDescent="0.2">
      <c r="A24" s="1">
        <v>1</v>
      </c>
      <c r="B24" s="1">
        <v>26</v>
      </c>
      <c r="C24" s="1">
        <v>114</v>
      </c>
      <c r="D24" s="1">
        <v>84</v>
      </c>
      <c r="E24" s="1">
        <v>28</v>
      </c>
    </row>
    <row r="25" spans="1:5" x14ac:dyDescent="0.2">
      <c r="A25" s="1">
        <v>0</v>
      </c>
      <c r="B25" s="1">
        <v>37</v>
      </c>
      <c r="C25" s="1">
        <v>133</v>
      </c>
      <c r="D25" s="1">
        <v>66</v>
      </c>
      <c r="E25" s="1">
        <v>33</v>
      </c>
    </row>
    <row r="26" spans="1:5" x14ac:dyDescent="0.2">
      <c r="A26" s="1">
        <v>0</v>
      </c>
      <c r="B26" s="1">
        <v>29</v>
      </c>
      <c r="C26" s="1">
        <v>136</v>
      </c>
      <c r="D26" s="1">
        <v>71</v>
      </c>
      <c r="E26" s="1">
        <v>19</v>
      </c>
    </row>
    <row r="27" spans="1:5" x14ac:dyDescent="0.2">
      <c r="A27" s="1">
        <v>0</v>
      </c>
      <c r="B27" s="1">
        <v>54</v>
      </c>
      <c r="C27" s="1">
        <v>140</v>
      </c>
      <c r="D27" s="1">
        <v>104</v>
      </c>
      <c r="E27" s="1">
        <v>26</v>
      </c>
    </row>
    <row r="28" spans="1:5" x14ac:dyDescent="0.2">
      <c r="A28" s="1">
        <v>0</v>
      </c>
      <c r="B28" s="1">
        <v>41</v>
      </c>
      <c r="C28" s="1">
        <v>142</v>
      </c>
      <c r="D28" s="1">
        <v>94</v>
      </c>
      <c r="E28" s="1">
        <v>30</v>
      </c>
    </row>
    <row r="29" spans="1:5" x14ac:dyDescent="0.2">
      <c r="A29" s="1">
        <v>1</v>
      </c>
      <c r="B29" s="1">
        <v>43</v>
      </c>
      <c r="C29" s="1">
        <v>149</v>
      </c>
      <c r="D29" s="1">
        <v>83</v>
      </c>
      <c r="E29" s="1">
        <v>36</v>
      </c>
    </row>
    <row r="30" spans="1:5" x14ac:dyDescent="0.2">
      <c r="A30" s="1">
        <v>0</v>
      </c>
      <c r="B30" s="1">
        <v>56</v>
      </c>
      <c r="C30" s="1">
        <v>140</v>
      </c>
      <c r="D30" s="1">
        <v>82</v>
      </c>
      <c r="E30" s="1">
        <v>18</v>
      </c>
    </row>
    <row r="31" spans="1:5" x14ac:dyDescent="0.2">
      <c r="A31" s="1">
        <v>1</v>
      </c>
      <c r="B31" s="1">
        <v>56</v>
      </c>
      <c r="C31" s="1">
        <v>115</v>
      </c>
      <c r="D31" s="1">
        <v>65</v>
      </c>
      <c r="E31" s="1">
        <v>21</v>
      </c>
    </row>
    <row r="32" spans="1:5" x14ac:dyDescent="0.2">
      <c r="A32" s="1">
        <v>1</v>
      </c>
      <c r="B32" s="1">
        <v>60</v>
      </c>
      <c r="C32" s="1">
        <v>155</v>
      </c>
      <c r="D32" s="1">
        <v>69</v>
      </c>
      <c r="E32" s="1">
        <v>37</v>
      </c>
    </row>
    <row r="33" spans="1:5" x14ac:dyDescent="0.2">
      <c r="A33" s="1">
        <v>1</v>
      </c>
      <c r="B33" s="1">
        <v>47</v>
      </c>
      <c r="C33" s="1">
        <v>115</v>
      </c>
      <c r="D33" s="1">
        <v>104</v>
      </c>
      <c r="E33" s="1">
        <v>40</v>
      </c>
    </row>
    <row r="34" spans="1:5" x14ac:dyDescent="0.2">
      <c r="A34" s="1">
        <v>0</v>
      </c>
      <c r="B34" s="1">
        <v>50</v>
      </c>
      <c r="C34" s="1">
        <v>114</v>
      </c>
      <c r="D34" s="1">
        <v>68</v>
      </c>
      <c r="E34" s="1">
        <v>18</v>
      </c>
    </row>
    <row r="35" spans="1:5" x14ac:dyDescent="0.2">
      <c r="A35" s="1">
        <v>0</v>
      </c>
      <c r="B35" s="1">
        <v>28</v>
      </c>
      <c r="C35" s="1">
        <v>140</v>
      </c>
      <c r="D35" s="1">
        <v>80</v>
      </c>
      <c r="E35" s="1">
        <v>31</v>
      </c>
    </row>
    <row r="36" spans="1:5" x14ac:dyDescent="0.2">
      <c r="A36" s="1">
        <v>1</v>
      </c>
      <c r="B36" s="1">
        <v>60</v>
      </c>
      <c r="C36" s="1">
        <v>127</v>
      </c>
      <c r="D36" s="1">
        <v>103</v>
      </c>
      <c r="E36" s="1">
        <v>31</v>
      </c>
    </row>
    <row r="37" spans="1:5" x14ac:dyDescent="0.2">
      <c r="A37" s="1">
        <v>1</v>
      </c>
      <c r="B37" s="1">
        <v>69</v>
      </c>
      <c r="C37" s="1">
        <v>136</v>
      </c>
      <c r="D37" s="1">
        <v>75</v>
      </c>
      <c r="E37" s="1">
        <v>22</v>
      </c>
    </row>
    <row r="38" spans="1:5" x14ac:dyDescent="0.2">
      <c r="A38" s="1">
        <v>1</v>
      </c>
      <c r="B38" s="1">
        <v>60</v>
      </c>
      <c r="C38" s="1">
        <v>119</v>
      </c>
      <c r="D38" s="1">
        <v>88</v>
      </c>
      <c r="E38" s="1">
        <v>20</v>
      </c>
    </row>
    <row r="39" spans="1:5" x14ac:dyDescent="0.2">
      <c r="A39" s="1">
        <v>0</v>
      </c>
      <c r="B39" s="1">
        <v>23</v>
      </c>
      <c r="C39" s="1">
        <v>127</v>
      </c>
      <c r="D39" s="1">
        <v>70</v>
      </c>
      <c r="E39" s="1">
        <v>19</v>
      </c>
    </row>
    <row r="40" spans="1:5" x14ac:dyDescent="0.2">
      <c r="A40" s="1">
        <v>0</v>
      </c>
      <c r="B40" s="1">
        <v>34</v>
      </c>
      <c r="C40" s="1">
        <v>144</v>
      </c>
      <c r="D40" s="1">
        <v>119</v>
      </c>
      <c r="E40" s="1">
        <v>28</v>
      </c>
    </row>
    <row r="41" spans="1:5" x14ac:dyDescent="0.2">
      <c r="A41" s="1">
        <v>1</v>
      </c>
      <c r="B41" s="1">
        <v>24</v>
      </c>
      <c r="C41" s="1">
        <v>115</v>
      </c>
      <c r="D41" s="1">
        <v>109</v>
      </c>
      <c r="E41" s="1">
        <v>24</v>
      </c>
    </row>
    <row r="42" spans="1:5" x14ac:dyDescent="0.2">
      <c r="A42" s="1">
        <v>1</v>
      </c>
      <c r="B42" s="1">
        <v>44</v>
      </c>
      <c r="C42" s="1">
        <v>102</v>
      </c>
      <c r="D42" s="1">
        <v>103</v>
      </c>
      <c r="E42" s="1">
        <v>33</v>
      </c>
    </row>
    <row r="43" spans="1:5" x14ac:dyDescent="0.2">
      <c r="A43" s="1">
        <v>0</v>
      </c>
      <c r="B43" s="1">
        <v>28</v>
      </c>
      <c r="C43" s="1">
        <v>133</v>
      </c>
      <c r="D43" s="1">
        <v>77</v>
      </c>
      <c r="E43" s="1">
        <v>22</v>
      </c>
    </row>
    <row r="44" spans="1:5" x14ac:dyDescent="0.2">
      <c r="A44" s="1">
        <v>1</v>
      </c>
      <c r="B44" s="1">
        <v>59</v>
      </c>
      <c r="C44" s="1">
        <v>125</v>
      </c>
      <c r="D44" s="1">
        <v>82</v>
      </c>
      <c r="E44" s="1">
        <v>21</v>
      </c>
    </row>
    <row r="45" spans="1:5" x14ac:dyDescent="0.2">
      <c r="A45" s="1">
        <v>1</v>
      </c>
      <c r="B45" s="1">
        <v>30</v>
      </c>
      <c r="C45" s="1">
        <v>122</v>
      </c>
      <c r="D45" s="1">
        <v>84</v>
      </c>
      <c r="E45" s="1">
        <v>39</v>
      </c>
    </row>
    <row r="46" spans="1:5" x14ac:dyDescent="0.2">
      <c r="A46" s="1">
        <v>0</v>
      </c>
      <c r="B46" s="1">
        <v>26</v>
      </c>
      <c r="C46" s="1">
        <v>116</v>
      </c>
      <c r="D46" s="1">
        <v>83</v>
      </c>
      <c r="E46" s="1">
        <v>24</v>
      </c>
    </row>
    <row r="47" spans="1:5" x14ac:dyDescent="0.2">
      <c r="A47" s="1">
        <v>0</v>
      </c>
      <c r="B47" s="1">
        <v>49</v>
      </c>
      <c r="C47" s="1">
        <v>136</v>
      </c>
      <c r="D47" s="1">
        <v>75</v>
      </c>
      <c r="E47" s="1">
        <v>19</v>
      </c>
    </row>
    <row r="48" spans="1:5" x14ac:dyDescent="0.2">
      <c r="A48" s="1">
        <v>0</v>
      </c>
      <c r="B48" s="1">
        <v>30</v>
      </c>
      <c r="C48" s="1">
        <v>144</v>
      </c>
      <c r="D48" s="1">
        <v>127</v>
      </c>
      <c r="E48" s="1">
        <v>17</v>
      </c>
    </row>
    <row r="49" spans="1:5" x14ac:dyDescent="0.2">
      <c r="A49" s="1">
        <v>1</v>
      </c>
      <c r="B49" s="1">
        <v>46</v>
      </c>
      <c r="C49" s="1">
        <v>106</v>
      </c>
      <c r="D49" s="1">
        <v>69</v>
      </c>
      <c r="E49" s="1">
        <v>27</v>
      </c>
    </row>
    <row r="50" spans="1:5" x14ac:dyDescent="0.2">
      <c r="A50" s="1">
        <v>1</v>
      </c>
      <c r="B50" s="1">
        <v>41</v>
      </c>
      <c r="C50" s="1">
        <v>152</v>
      </c>
      <c r="D50" s="1">
        <v>68</v>
      </c>
      <c r="E50" s="1">
        <v>19</v>
      </c>
    </row>
    <row r="51" spans="1:5" x14ac:dyDescent="0.2">
      <c r="A51" s="1">
        <v>1</v>
      </c>
      <c r="B51" s="1">
        <v>53</v>
      </c>
      <c r="C51" s="1">
        <v>121</v>
      </c>
      <c r="D51" s="1">
        <v>93</v>
      </c>
      <c r="E51" s="1">
        <v>27</v>
      </c>
    </row>
    <row r="52" spans="1:5" x14ac:dyDescent="0.2">
      <c r="A52" s="1">
        <v>1</v>
      </c>
      <c r="B52" s="1">
        <v>31</v>
      </c>
      <c r="C52" s="1">
        <v>112</v>
      </c>
      <c r="D52" s="1">
        <v>83</v>
      </c>
      <c r="E52" s="1">
        <v>35</v>
      </c>
    </row>
    <row r="53" spans="1:5" x14ac:dyDescent="0.2">
      <c r="A53" s="1">
        <v>1</v>
      </c>
      <c r="B53" s="1">
        <v>54</v>
      </c>
      <c r="C53" s="1">
        <v>140</v>
      </c>
      <c r="D53" s="1">
        <v>105</v>
      </c>
      <c r="E53" s="1">
        <v>23</v>
      </c>
    </row>
    <row r="54" spans="1:5" x14ac:dyDescent="0.2">
      <c r="A54" s="1">
        <v>1</v>
      </c>
      <c r="B54" s="1">
        <v>56</v>
      </c>
      <c r="C54" s="1">
        <v>103</v>
      </c>
      <c r="D54" s="1">
        <v>75</v>
      </c>
      <c r="E54" s="1">
        <v>38</v>
      </c>
    </row>
    <row r="55" spans="1:5" x14ac:dyDescent="0.2">
      <c r="A55" s="1">
        <v>1</v>
      </c>
      <c r="B55" s="1">
        <v>65</v>
      </c>
      <c r="C55" s="1">
        <v>132</v>
      </c>
      <c r="D55" s="1">
        <v>102</v>
      </c>
      <c r="E55" s="1">
        <v>40</v>
      </c>
    </row>
    <row r="56" spans="1:5" x14ac:dyDescent="0.2">
      <c r="A56" s="1">
        <v>1</v>
      </c>
      <c r="B56" s="1">
        <v>43</v>
      </c>
      <c r="C56" s="1">
        <v>105</v>
      </c>
      <c r="D56" s="1">
        <v>90</v>
      </c>
      <c r="E56" s="1">
        <v>22</v>
      </c>
    </row>
    <row r="57" spans="1:5" x14ac:dyDescent="0.2">
      <c r="A57" s="1">
        <v>0</v>
      </c>
      <c r="B57" s="1">
        <v>51</v>
      </c>
      <c r="C57" s="1">
        <v>153</v>
      </c>
      <c r="D57" s="1">
        <v>67</v>
      </c>
      <c r="E57" s="1">
        <v>25</v>
      </c>
    </row>
    <row r="58" spans="1:5" x14ac:dyDescent="0.2">
      <c r="A58" s="1">
        <v>0</v>
      </c>
      <c r="B58" s="1">
        <v>32</v>
      </c>
      <c r="C58" s="1">
        <v>111</v>
      </c>
      <c r="D58" s="1">
        <v>69</v>
      </c>
      <c r="E58" s="1">
        <v>36</v>
      </c>
    </row>
    <row r="59" spans="1:5" x14ac:dyDescent="0.2">
      <c r="A59" s="1">
        <v>0</v>
      </c>
      <c r="B59" s="1">
        <v>45</v>
      </c>
      <c r="C59" s="1">
        <v>125</v>
      </c>
      <c r="D59" s="1">
        <v>102</v>
      </c>
      <c r="E59" s="1">
        <v>17</v>
      </c>
    </row>
    <row r="60" spans="1:5" x14ac:dyDescent="0.2">
      <c r="A60" s="1">
        <v>0</v>
      </c>
      <c r="B60" s="1">
        <v>34</v>
      </c>
      <c r="C60" s="1">
        <v>106</v>
      </c>
      <c r="D60" s="1">
        <v>92</v>
      </c>
      <c r="E60" s="1">
        <v>24</v>
      </c>
    </row>
    <row r="61" spans="1:5" x14ac:dyDescent="0.2">
      <c r="A61" s="1">
        <v>1</v>
      </c>
      <c r="B61" s="1">
        <v>39</v>
      </c>
      <c r="C61" s="1">
        <v>139</v>
      </c>
      <c r="D61" s="1">
        <v>77</v>
      </c>
      <c r="E61" s="1">
        <v>20</v>
      </c>
    </row>
    <row r="62" spans="1:5" x14ac:dyDescent="0.2">
      <c r="A62" s="1">
        <v>1</v>
      </c>
      <c r="B62" s="1">
        <v>62</v>
      </c>
      <c r="C62" s="1">
        <v>124</v>
      </c>
      <c r="D62" s="1">
        <v>105</v>
      </c>
      <c r="E62" s="1">
        <v>25</v>
      </c>
    </row>
    <row r="63" spans="1:5" x14ac:dyDescent="0.2">
      <c r="A63" s="1">
        <v>1</v>
      </c>
      <c r="B63" s="1">
        <v>55</v>
      </c>
      <c r="C63" s="1">
        <v>133</v>
      </c>
      <c r="D63" s="1">
        <v>93</v>
      </c>
      <c r="E63" s="1">
        <v>40</v>
      </c>
    </row>
    <row r="64" spans="1:5" x14ac:dyDescent="0.2">
      <c r="A64" s="1">
        <v>1</v>
      </c>
      <c r="B64" s="1">
        <v>69</v>
      </c>
      <c r="C64" s="1">
        <v>103</v>
      </c>
      <c r="D64" s="1">
        <v>113</v>
      </c>
      <c r="E64" s="1">
        <v>17</v>
      </c>
    </row>
    <row r="65" spans="1:5" x14ac:dyDescent="0.2">
      <c r="A65" s="1">
        <v>1</v>
      </c>
      <c r="B65" s="1">
        <v>64</v>
      </c>
      <c r="C65" s="1">
        <v>104</v>
      </c>
      <c r="D65" s="1">
        <v>113</v>
      </c>
      <c r="E65" s="1">
        <v>17</v>
      </c>
    </row>
    <row r="66" spans="1:5" x14ac:dyDescent="0.2">
      <c r="A66" s="1">
        <v>0</v>
      </c>
      <c r="B66" s="1">
        <v>35</v>
      </c>
      <c r="C66" s="1">
        <v>112</v>
      </c>
      <c r="D66" s="1">
        <v>86</v>
      </c>
      <c r="E66" s="1">
        <v>35</v>
      </c>
    </row>
    <row r="67" spans="1:5" x14ac:dyDescent="0.2">
      <c r="A67" s="1">
        <v>1</v>
      </c>
      <c r="B67" s="1">
        <v>23</v>
      </c>
      <c r="C67" s="1">
        <v>111</v>
      </c>
      <c r="D67" s="1">
        <v>127</v>
      </c>
      <c r="E67" s="1">
        <v>40</v>
      </c>
    </row>
    <row r="68" spans="1:5" x14ac:dyDescent="0.2">
      <c r="A68" s="1">
        <v>1</v>
      </c>
      <c r="B68" s="1">
        <v>62</v>
      </c>
      <c r="C68" s="1">
        <v>114</v>
      </c>
      <c r="D68" s="1">
        <v>124</v>
      </c>
      <c r="E68" s="1">
        <v>35</v>
      </c>
    </row>
    <row r="69" spans="1:5" x14ac:dyDescent="0.2">
      <c r="A69" s="1">
        <v>1</v>
      </c>
      <c r="B69" s="1">
        <v>38</v>
      </c>
      <c r="C69" s="1">
        <v>103</v>
      </c>
      <c r="D69" s="1">
        <v>71</v>
      </c>
      <c r="E69" s="1">
        <v>38</v>
      </c>
    </row>
    <row r="70" spans="1:5" x14ac:dyDescent="0.2">
      <c r="A70" s="1">
        <v>1</v>
      </c>
      <c r="B70" s="1">
        <v>55</v>
      </c>
      <c r="C70" s="1">
        <v>127</v>
      </c>
      <c r="D70" s="1">
        <v>92</v>
      </c>
      <c r="E70" s="1">
        <v>41</v>
      </c>
    </row>
    <row r="71" spans="1:5" x14ac:dyDescent="0.2">
      <c r="A71" s="1">
        <v>1</v>
      </c>
      <c r="B71" s="1">
        <v>29</v>
      </c>
      <c r="C71" s="1">
        <v>112</v>
      </c>
      <c r="D71" s="1">
        <v>95</v>
      </c>
      <c r="E71" s="1">
        <v>38</v>
      </c>
    </row>
    <row r="72" spans="1:5" x14ac:dyDescent="0.2">
      <c r="A72" s="1">
        <v>0</v>
      </c>
      <c r="B72" s="1">
        <v>30</v>
      </c>
      <c r="C72" s="1">
        <v>147</v>
      </c>
      <c r="D72" s="1">
        <v>92</v>
      </c>
      <c r="E72" s="1">
        <v>30</v>
      </c>
    </row>
    <row r="73" spans="1:5" x14ac:dyDescent="0.2">
      <c r="A73" s="1">
        <v>1</v>
      </c>
      <c r="B73" s="1">
        <v>42</v>
      </c>
      <c r="C73" s="1">
        <v>108</v>
      </c>
      <c r="D73" s="1">
        <v>114</v>
      </c>
      <c r="E73" s="1">
        <v>20</v>
      </c>
    </row>
    <row r="74" spans="1:5" x14ac:dyDescent="0.2">
      <c r="A74" s="1">
        <v>1</v>
      </c>
      <c r="B74" s="1">
        <v>57</v>
      </c>
      <c r="C74" s="1">
        <v>118</v>
      </c>
      <c r="D74" s="1">
        <v>88</v>
      </c>
      <c r="E74" s="1">
        <v>41</v>
      </c>
    </row>
    <row r="75" spans="1:5" x14ac:dyDescent="0.2">
      <c r="A75" s="1">
        <v>1</v>
      </c>
      <c r="B75" s="1">
        <v>55</v>
      </c>
      <c r="C75" s="1">
        <v>120</v>
      </c>
      <c r="D75" s="1">
        <v>86</v>
      </c>
      <c r="E75" s="1">
        <v>32</v>
      </c>
    </row>
    <row r="76" spans="1:5" x14ac:dyDescent="0.2">
      <c r="A76" s="1">
        <v>0</v>
      </c>
      <c r="B76" s="1">
        <v>34</v>
      </c>
      <c r="C76" s="1">
        <v>107</v>
      </c>
      <c r="D76" s="1">
        <v>75</v>
      </c>
      <c r="E76" s="1">
        <v>19</v>
      </c>
    </row>
    <row r="77" spans="1:5" x14ac:dyDescent="0.2">
      <c r="A77" s="1">
        <v>0</v>
      </c>
      <c r="B77" s="1">
        <v>64</v>
      </c>
      <c r="C77" s="1">
        <v>119</v>
      </c>
      <c r="D77" s="1">
        <v>79</v>
      </c>
      <c r="E77" s="1">
        <v>22</v>
      </c>
    </row>
    <row r="78" spans="1:5" x14ac:dyDescent="0.2">
      <c r="A78" s="1">
        <v>0</v>
      </c>
      <c r="B78" s="1">
        <v>40</v>
      </c>
      <c r="C78" s="1">
        <v>127</v>
      </c>
      <c r="D78" s="1">
        <v>124</v>
      </c>
      <c r="E78" s="1">
        <v>22</v>
      </c>
    </row>
    <row r="79" spans="1:5" x14ac:dyDescent="0.2">
      <c r="A79" s="1">
        <v>1</v>
      </c>
      <c r="B79" s="1">
        <v>59</v>
      </c>
      <c r="C79" s="1">
        <v>130</v>
      </c>
      <c r="D79" s="1">
        <v>65</v>
      </c>
      <c r="E79" s="1">
        <v>36</v>
      </c>
    </row>
    <row r="80" spans="1:5" x14ac:dyDescent="0.2">
      <c r="A80" s="1">
        <v>1</v>
      </c>
      <c r="B80" s="1">
        <v>40</v>
      </c>
      <c r="C80" s="1">
        <v>116</v>
      </c>
      <c r="D80" s="1">
        <v>100</v>
      </c>
      <c r="E80" s="1">
        <v>36</v>
      </c>
    </row>
    <row r="81" spans="1:5" x14ac:dyDescent="0.2">
      <c r="A81" s="1">
        <v>1</v>
      </c>
      <c r="B81" s="1">
        <v>59</v>
      </c>
      <c r="C81" s="1">
        <v>149</v>
      </c>
      <c r="D81" s="1">
        <v>128</v>
      </c>
      <c r="E81" s="1">
        <v>37</v>
      </c>
    </row>
    <row r="82" spans="1:5" x14ac:dyDescent="0.2">
      <c r="A82" s="1">
        <v>0</v>
      </c>
      <c r="B82" s="1">
        <v>43</v>
      </c>
      <c r="C82" s="1">
        <v>113</v>
      </c>
      <c r="D82" s="1">
        <v>74</v>
      </c>
      <c r="E82" s="1">
        <v>25</v>
      </c>
    </row>
    <row r="83" spans="1:5" x14ac:dyDescent="0.2">
      <c r="A83" s="1">
        <v>0</v>
      </c>
      <c r="B83" s="1">
        <v>54</v>
      </c>
      <c r="C83" s="1">
        <v>145</v>
      </c>
      <c r="D83" s="1">
        <v>73</v>
      </c>
      <c r="E83" s="1">
        <v>20</v>
      </c>
    </row>
    <row r="84" spans="1:5" x14ac:dyDescent="0.2">
      <c r="A84" s="1">
        <v>1</v>
      </c>
      <c r="B84" s="1">
        <v>33</v>
      </c>
      <c r="C84" s="1">
        <v>120</v>
      </c>
      <c r="D84" s="1">
        <v>64</v>
      </c>
      <c r="E84" s="1">
        <v>33</v>
      </c>
    </row>
    <row r="85" spans="1:5" x14ac:dyDescent="0.2">
      <c r="A85" s="1">
        <v>1</v>
      </c>
      <c r="B85" s="1">
        <v>55</v>
      </c>
      <c r="C85" s="1">
        <v>115</v>
      </c>
      <c r="D85" s="1">
        <v>81</v>
      </c>
      <c r="E85" s="1">
        <v>32</v>
      </c>
    </row>
    <row r="86" spans="1:5" x14ac:dyDescent="0.2">
      <c r="A86" s="1">
        <v>1</v>
      </c>
      <c r="B86" s="1">
        <v>51</v>
      </c>
      <c r="C86" s="1">
        <v>130</v>
      </c>
      <c r="D86" s="1">
        <v>70</v>
      </c>
      <c r="E86" s="1">
        <v>20</v>
      </c>
    </row>
    <row r="87" spans="1:5" x14ac:dyDescent="0.2">
      <c r="A87" s="1">
        <v>1</v>
      </c>
      <c r="B87" s="1">
        <v>65</v>
      </c>
      <c r="C87" s="1">
        <v>101</v>
      </c>
      <c r="D87" s="1">
        <v>63</v>
      </c>
      <c r="E87" s="1">
        <v>18</v>
      </c>
    </row>
    <row r="88" spans="1:5" x14ac:dyDescent="0.2">
      <c r="A88" s="1">
        <v>1</v>
      </c>
      <c r="B88" s="1">
        <v>62</v>
      </c>
      <c r="C88" s="1">
        <v>109</v>
      </c>
      <c r="D88" s="1">
        <v>110</v>
      </c>
      <c r="E88" s="1">
        <v>38</v>
      </c>
    </row>
    <row r="89" spans="1:5" x14ac:dyDescent="0.2">
      <c r="A89" s="1">
        <v>1</v>
      </c>
      <c r="B89" s="1">
        <v>60</v>
      </c>
      <c r="C89" s="1">
        <v>130</v>
      </c>
      <c r="D89" s="1">
        <v>69</v>
      </c>
      <c r="E89" s="1">
        <v>35</v>
      </c>
    </row>
    <row r="90" spans="1:5" x14ac:dyDescent="0.2">
      <c r="A90" s="1">
        <v>1</v>
      </c>
      <c r="B90" s="1">
        <v>61</v>
      </c>
      <c r="C90" s="1">
        <v>124</v>
      </c>
      <c r="D90" s="1">
        <v>95</v>
      </c>
      <c r="E90" s="1">
        <v>36</v>
      </c>
    </row>
    <row r="91" spans="1:5" x14ac:dyDescent="0.2">
      <c r="A91" s="1">
        <v>1</v>
      </c>
      <c r="B91" s="1">
        <v>53</v>
      </c>
      <c r="C91" s="1">
        <v>150</v>
      </c>
      <c r="D91" s="1">
        <v>81</v>
      </c>
      <c r="E91" s="1">
        <v>41</v>
      </c>
    </row>
    <row r="92" spans="1:5" x14ac:dyDescent="0.2">
      <c r="A92" s="1">
        <v>0</v>
      </c>
      <c r="B92" s="1">
        <v>33</v>
      </c>
      <c r="C92" s="1">
        <v>143</v>
      </c>
      <c r="D92" s="1">
        <v>120</v>
      </c>
      <c r="E92" s="1">
        <v>18</v>
      </c>
    </row>
    <row r="93" spans="1:5" x14ac:dyDescent="0.2">
      <c r="A93" s="1">
        <v>0</v>
      </c>
      <c r="B93" s="1">
        <v>26</v>
      </c>
      <c r="C93" s="1">
        <v>100</v>
      </c>
      <c r="D93" s="1">
        <v>107</v>
      </c>
      <c r="E93" s="1">
        <v>20</v>
      </c>
    </row>
    <row r="94" spans="1:5" x14ac:dyDescent="0.2">
      <c r="A94" s="1">
        <v>0</v>
      </c>
      <c r="B94" s="1">
        <v>23</v>
      </c>
      <c r="C94" s="1">
        <v>107</v>
      </c>
      <c r="D94" s="1">
        <v>124</v>
      </c>
      <c r="E94" s="1">
        <v>20</v>
      </c>
    </row>
    <row r="95" spans="1:5" x14ac:dyDescent="0.2">
      <c r="A95" s="1">
        <v>0</v>
      </c>
      <c r="B95" s="1">
        <v>55</v>
      </c>
      <c r="C95" s="1">
        <v>151</v>
      </c>
      <c r="D95" s="1">
        <v>67</v>
      </c>
      <c r="E95" s="1">
        <v>18</v>
      </c>
    </row>
    <row r="96" spans="1:5" x14ac:dyDescent="0.2">
      <c r="A96" s="1">
        <v>1</v>
      </c>
      <c r="B96" s="1">
        <v>69</v>
      </c>
      <c r="C96" s="1">
        <v>132</v>
      </c>
      <c r="D96" s="1">
        <v>90</v>
      </c>
      <c r="E96" s="1">
        <v>36</v>
      </c>
    </row>
    <row r="97" spans="1:5" x14ac:dyDescent="0.2">
      <c r="A97" s="1">
        <v>1</v>
      </c>
      <c r="B97" s="1">
        <v>56</v>
      </c>
      <c r="C97" s="1">
        <v>131</v>
      </c>
      <c r="D97" s="1">
        <v>101</v>
      </c>
      <c r="E97" s="1">
        <v>32</v>
      </c>
    </row>
    <row r="98" spans="1:5" x14ac:dyDescent="0.2">
      <c r="A98" s="1">
        <v>0</v>
      </c>
      <c r="B98" s="1">
        <v>45</v>
      </c>
      <c r="C98" s="1">
        <v>116</v>
      </c>
      <c r="D98" s="1">
        <v>66</v>
      </c>
      <c r="E98" s="1">
        <v>33</v>
      </c>
    </row>
    <row r="99" spans="1:5" x14ac:dyDescent="0.2">
      <c r="A99" s="1">
        <v>0</v>
      </c>
      <c r="B99" s="1">
        <v>54</v>
      </c>
      <c r="C99" s="1">
        <v>128</v>
      </c>
      <c r="D99" s="1">
        <v>86</v>
      </c>
      <c r="E99" s="1">
        <v>24</v>
      </c>
    </row>
    <row r="100" spans="1:5" x14ac:dyDescent="0.2">
      <c r="A100" s="1">
        <v>0</v>
      </c>
      <c r="B100" s="1">
        <v>26</v>
      </c>
      <c r="C100" s="1">
        <v>149</v>
      </c>
      <c r="D100" s="1">
        <v>93</v>
      </c>
      <c r="E100" s="1">
        <v>33</v>
      </c>
    </row>
    <row r="101" spans="1:5" x14ac:dyDescent="0.2">
      <c r="A101" s="1">
        <v>1</v>
      </c>
      <c r="B101" s="1">
        <v>28</v>
      </c>
      <c r="C101" s="1">
        <v>135</v>
      </c>
      <c r="D101" s="1">
        <v>110</v>
      </c>
      <c r="E101" s="1">
        <v>35</v>
      </c>
    </row>
    <row r="102" spans="1:5" x14ac:dyDescent="0.2">
      <c r="A102" s="1">
        <v>0</v>
      </c>
      <c r="B102" s="1">
        <v>50</v>
      </c>
      <c r="C102" s="1">
        <v>120</v>
      </c>
      <c r="D102" s="1">
        <v>113</v>
      </c>
      <c r="E102" s="1">
        <v>19</v>
      </c>
    </row>
    <row r="103" spans="1:5" x14ac:dyDescent="0.2">
      <c r="A103" s="1">
        <v>1</v>
      </c>
      <c r="B103" s="1">
        <v>57</v>
      </c>
      <c r="C103" s="1">
        <v>117</v>
      </c>
      <c r="D103" s="1">
        <v>101</v>
      </c>
      <c r="E103" s="1">
        <v>30</v>
      </c>
    </row>
    <row r="104" spans="1:5" x14ac:dyDescent="0.2">
      <c r="A104" s="1">
        <v>1</v>
      </c>
      <c r="B104" s="1">
        <v>64</v>
      </c>
      <c r="C104" s="1">
        <v>152</v>
      </c>
      <c r="D104" s="1">
        <v>104</v>
      </c>
      <c r="E104" s="1">
        <v>20</v>
      </c>
    </row>
    <row r="105" spans="1:5" x14ac:dyDescent="0.2">
      <c r="A105" s="1">
        <v>0</v>
      </c>
      <c r="B105" s="1">
        <v>24</v>
      </c>
      <c r="C105" s="1">
        <v>111</v>
      </c>
      <c r="D105" s="1">
        <v>85</v>
      </c>
      <c r="E105" s="1">
        <v>37</v>
      </c>
    </row>
    <row r="106" spans="1:5" x14ac:dyDescent="0.2">
      <c r="A106" s="1">
        <v>1</v>
      </c>
      <c r="B106" s="1">
        <v>51</v>
      </c>
      <c r="C106" s="1">
        <v>102</v>
      </c>
      <c r="D106" s="1">
        <v>101</v>
      </c>
      <c r="E106" s="1">
        <v>33</v>
      </c>
    </row>
    <row r="107" spans="1:5" x14ac:dyDescent="0.2">
      <c r="A107" s="1">
        <v>1</v>
      </c>
      <c r="B107" s="1">
        <v>62</v>
      </c>
      <c r="C107" s="1">
        <v>129</v>
      </c>
      <c r="D107" s="1">
        <v>117</v>
      </c>
      <c r="E107" s="1">
        <v>34</v>
      </c>
    </row>
    <row r="108" spans="1:5" x14ac:dyDescent="0.2">
      <c r="A108" s="1">
        <v>1</v>
      </c>
      <c r="B108" s="1">
        <v>68</v>
      </c>
      <c r="C108" s="1">
        <v>131</v>
      </c>
      <c r="D108" s="1">
        <v>65</v>
      </c>
      <c r="E108" s="1">
        <v>29</v>
      </c>
    </row>
    <row r="109" spans="1:5" x14ac:dyDescent="0.2">
      <c r="A109" s="1">
        <v>1</v>
      </c>
      <c r="B109" s="1">
        <v>24</v>
      </c>
      <c r="C109" s="1">
        <v>130</v>
      </c>
      <c r="D109" s="1">
        <v>109</v>
      </c>
      <c r="E109" s="1">
        <v>36</v>
      </c>
    </row>
    <row r="110" spans="1:5" x14ac:dyDescent="0.2">
      <c r="A110" s="1">
        <v>0</v>
      </c>
      <c r="B110" s="1">
        <v>53</v>
      </c>
      <c r="C110" s="1">
        <v>109</v>
      </c>
      <c r="D110" s="1">
        <v>86</v>
      </c>
      <c r="E110" s="1">
        <v>19</v>
      </c>
    </row>
    <row r="111" spans="1:5" x14ac:dyDescent="0.2">
      <c r="A111" s="1">
        <v>0</v>
      </c>
      <c r="B111" s="1">
        <v>29</v>
      </c>
      <c r="C111" s="1">
        <v>134</v>
      </c>
      <c r="D111" s="1">
        <v>67</v>
      </c>
      <c r="E111" s="1">
        <v>32</v>
      </c>
    </row>
    <row r="112" spans="1:5" x14ac:dyDescent="0.2">
      <c r="A112" s="1">
        <v>1</v>
      </c>
      <c r="B112" s="1">
        <v>31</v>
      </c>
      <c r="C112" s="1">
        <v>152</v>
      </c>
      <c r="D112" s="1">
        <v>107</v>
      </c>
      <c r="E112" s="1">
        <v>29</v>
      </c>
    </row>
    <row r="113" spans="1:5" x14ac:dyDescent="0.2">
      <c r="A113" s="1">
        <v>1</v>
      </c>
      <c r="B113" s="1">
        <v>60</v>
      </c>
      <c r="C113" s="1">
        <v>123</v>
      </c>
      <c r="D113" s="1">
        <v>115</v>
      </c>
      <c r="E113" s="1">
        <v>38</v>
      </c>
    </row>
    <row r="114" spans="1:5" x14ac:dyDescent="0.2">
      <c r="A114" s="1">
        <v>1</v>
      </c>
      <c r="B114" s="1">
        <v>33</v>
      </c>
      <c r="C114" s="1">
        <v>134</v>
      </c>
      <c r="D114" s="1">
        <v>95</v>
      </c>
      <c r="E114" s="1">
        <v>35</v>
      </c>
    </row>
    <row r="115" spans="1:5" x14ac:dyDescent="0.2">
      <c r="A115" s="1">
        <v>0</v>
      </c>
      <c r="B115" s="1">
        <v>43</v>
      </c>
      <c r="C115" s="1">
        <v>149</v>
      </c>
      <c r="D115" s="1">
        <v>81</v>
      </c>
      <c r="E115" s="1">
        <v>33</v>
      </c>
    </row>
    <row r="116" spans="1:5" x14ac:dyDescent="0.2">
      <c r="A116" s="1">
        <v>1</v>
      </c>
      <c r="B116" s="1">
        <v>49</v>
      </c>
      <c r="C116" s="1">
        <v>103</v>
      </c>
      <c r="D116" s="1">
        <v>96</v>
      </c>
      <c r="E116" s="1">
        <v>23</v>
      </c>
    </row>
    <row r="117" spans="1:5" x14ac:dyDescent="0.2">
      <c r="A117" s="1">
        <v>0</v>
      </c>
      <c r="B117" s="1">
        <v>50</v>
      </c>
      <c r="C117" s="1">
        <v>106</v>
      </c>
      <c r="D117" s="1">
        <v>67</v>
      </c>
      <c r="E117" s="1">
        <v>18</v>
      </c>
    </row>
    <row r="118" spans="1:5" x14ac:dyDescent="0.2">
      <c r="A118" s="1">
        <v>1</v>
      </c>
      <c r="B118" s="1">
        <v>60</v>
      </c>
      <c r="C118" s="1">
        <v>108</v>
      </c>
      <c r="D118" s="1">
        <v>72</v>
      </c>
      <c r="E118" s="1">
        <v>30</v>
      </c>
    </row>
    <row r="119" spans="1:5" x14ac:dyDescent="0.2">
      <c r="A119" s="1">
        <v>1</v>
      </c>
      <c r="B119" s="1">
        <v>37</v>
      </c>
      <c r="C119" s="1">
        <v>139</v>
      </c>
      <c r="D119" s="1">
        <v>80</v>
      </c>
      <c r="E119" s="1">
        <v>39</v>
      </c>
    </row>
    <row r="120" spans="1:5" x14ac:dyDescent="0.2">
      <c r="A120" s="1">
        <v>0</v>
      </c>
      <c r="B120" s="1">
        <v>32</v>
      </c>
      <c r="C120" s="1">
        <v>105</v>
      </c>
      <c r="D120" s="1">
        <v>97</v>
      </c>
      <c r="E120" s="1">
        <v>34</v>
      </c>
    </row>
    <row r="121" spans="1:5" x14ac:dyDescent="0.2">
      <c r="A121" s="1">
        <v>0</v>
      </c>
      <c r="B121" s="1">
        <v>47</v>
      </c>
      <c r="C121" s="1">
        <v>130</v>
      </c>
      <c r="D121" s="1">
        <v>108</v>
      </c>
      <c r="E121" s="1">
        <v>16</v>
      </c>
    </row>
    <row r="122" spans="1:5" x14ac:dyDescent="0.2">
      <c r="A122" s="1">
        <v>1</v>
      </c>
      <c r="B122" s="1">
        <v>36</v>
      </c>
      <c r="C122" s="1">
        <v>106</v>
      </c>
      <c r="D122" s="1">
        <v>107</v>
      </c>
      <c r="E122" s="1">
        <v>33</v>
      </c>
    </row>
    <row r="123" spans="1:5" x14ac:dyDescent="0.2">
      <c r="A123" s="1">
        <v>1</v>
      </c>
      <c r="B123" s="1">
        <v>57</v>
      </c>
      <c r="C123" s="1">
        <v>116</v>
      </c>
      <c r="D123" s="1">
        <v>107</v>
      </c>
      <c r="E123" s="1">
        <v>29</v>
      </c>
    </row>
    <row r="124" spans="1:5" x14ac:dyDescent="0.2">
      <c r="A124" s="1">
        <v>1</v>
      </c>
      <c r="B124" s="1">
        <v>60</v>
      </c>
      <c r="C124" s="1">
        <v>126</v>
      </c>
      <c r="D124" s="1">
        <v>68</v>
      </c>
      <c r="E124" s="1">
        <v>35</v>
      </c>
    </row>
    <row r="125" spans="1:5" x14ac:dyDescent="0.2">
      <c r="A125" s="1">
        <v>0</v>
      </c>
      <c r="B125" s="1">
        <v>43</v>
      </c>
      <c r="C125" s="1">
        <v>107</v>
      </c>
      <c r="D125" s="1">
        <v>110</v>
      </c>
      <c r="E125" s="1">
        <v>27</v>
      </c>
    </row>
    <row r="126" spans="1:5" x14ac:dyDescent="0.2">
      <c r="A126" s="1">
        <v>0</v>
      </c>
      <c r="B126" s="1">
        <v>52</v>
      </c>
      <c r="C126" s="1">
        <v>122</v>
      </c>
      <c r="D126" s="1">
        <v>104</v>
      </c>
      <c r="E126" s="1">
        <v>40</v>
      </c>
    </row>
    <row r="127" spans="1:5" x14ac:dyDescent="0.2">
      <c r="A127" s="1">
        <v>1</v>
      </c>
      <c r="B127" s="1">
        <v>29</v>
      </c>
      <c r="C127" s="1">
        <v>132</v>
      </c>
      <c r="D127" s="1">
        <v>103</v>
      </c>
      <c r="E127" s="1">
        <v>34</v>
      </c>
    </row>
    <row r="128" spans="1:5" x14ac:dyDescent="0.2">
      <c r="A128" s="1">
        <v>1</v>
      </c>
      <c r="B128" s="1">
        <v>44</v>
      </c>
      <c r="C128" s="1">
        <v>130</v>
      </c>
      <c r="D128" s="1">
        <v>80</v>
      </c>
      <c r="E128" s="1">
        <v>36</v>
      </c>
    </row>
    <row r="129" spans="1:5" x14ac:dyDescent="0.2">
      <c r="A129" s="1">
        <v>1</v>
      </c>
      <c r="B129" s="1">
        <v>53</v>
      </c>
      <c r="C129" s="1">
        <v>113</v>
      </c>
      <c r="D129" s="1">
        <v>81</v>
      </c>
      <c r="E129" s="1">
        <v>39</v>
      </c>
    </row>
    <row r="130" spans="1:5" x14ac:dyDescent="0.2">
      <c r="A130" s="1">
        <v>0</v>
      </c>
      <c r="B130" s="1">
        <v>47</v>
      </c>
      <c r="C130" s="1">
        <v>117</v>
      </c>
      <c r="D130" s="1">
        <v>113</v>
      </c>
      <c r="E130" s="1">
        <v>34</v>
      </c>
    </row>
    <row r="131" spans="1:5" x14ac:dyDescent="0.2">
      <c r="A131" s="1">
        <v>1</v>
      </c>
      <c r="B131" s="1">
        <v>33</v>
      </c>
      <c r="C131" s="1">
        <v>119</v>
      </c>
      <c r="D131" s="1">
        <v>111</v>
      </c>
      <c r="E131" s="1">
        <v>40</v>
      </c>
    </row>
    <row r="132" spans="1:5" x14ac:dyDescent="0.2">
      <c r="A132" s="1">
        <v>1</v>
      </c>
      <c r="B132" s="1">
        <v>51</v>
      </c>
      <c r="C132" s="1">
        <v>115</v>
      </c>
      <c r="D132" s="1">
        <v>83</v>
      </c>
      <c r="E132" s="1">
        <v>33</v>
      </c>
    </row>
    <row r="133" spans="1:5" x14ac:dyDescent="0.2">
      <c r="A133" s="1">
        <v>1</v>
      </c>
      <c r="B133" s="1">
        <v>60</v>
      </c>
      <c r="C133" s="1">
        <v>130</v>
      </c>
      <c r="D133" s="1">
        <v>75</v>
      </c>
      <c r="E133" s="1">
        <v>19</v>
      </c>
    </row>
    <row r="134" spans="1:5" x14ac:dyDescent="0.2">
      <c r="A134" s="1">
        <v>1</v>
      </c>
      <c r="B134" s="1">
        <v>34</v>
      </c>
      <c r="C134" s="1">
        <v>156</v>
      </c>
      <c r="D134" s="1">
        <v>82</v>
      </c>
      <c r="E134" s="1">
        <v>33</v>
      </c>
    </row>
    <row r="135" spans="1:5" x14ac:dyDescent="0.2">
      <c r="A135" s="1">
        <v>1</v>
      </c>
      <c r="B135" s="1">
        <v>67</v>
      </c>
      <c r="C135" s="1">
        <v>135</v>
      </c>
      <c r="D135" s="1">
        <v>94</v>
      </c>
      <c r="E135" s="1">
        <v>29</v>
      </c>
    </row>
    <row r="136" spans="1:5" x14ac:dyDescent="0.2">
      <c r="A136" s="1">
        <v>0</v>
      </c>
      <c r="B136" s="1">
        <v>43</v>
      </c>
      <c r="C136" s="1">
        <v>155</v>
      </c>
      <c r="D136" s="1">
        <v>65</v>
      </c>
      <c r="E136" s="1">
        <v>19</v>
      </c>
    </row>
    <row r="137" spans="1:5" x14ac:dyDescent="0.2">
      <c r="A137" s="1">
        <v>0</v>
      </c>
      <c r="B137" s="1">
        <v>55</v>
      </c>
      <c r="C137" s="1">
        <v>123</v>
      </c>
      <c r="D137" s="1">
        <v>85</v>
      </c>
      <c r="E137" s="1">
        <v>30</v>
      </c>
    </row>
    <row r="138" spans="1:5" x14ac:dyDescent="0.2">
      <c r="A138" s="1">
        <v>0</v>
      </c>
      <c r="B138" s="1">
        <v>26</v>
      </c>
      <c r="C138" s="1">
        <v>144</v>
      </c>
      <c r="D138" s="1">
        <v>97</v>
      </c>
      <c r="E138" s="1">
        <v>27</v>
      </c>
    </row>
    <row r="139" spans="1:5" x14ac:dyDescent="0.2">
      <c r="A139" s="1">
        <v>0</v>
      </c>
      <c r="B139" s="1">
        <v>48</v>
      </c>
      <c r="C139" s="1">
        <v>120</v>
      </c>
      <c r="D139" s="1">
        <v>82</v>
      </c>
      <c r="E139" s="1">
        <v>17</v>
      </c>
    </row>
    <row r="140" spans="1:5" x14ac:dyDescent="0.2">
      <c r="A140" s="1">
        <v>0</v>
      </c>
      <c r="B140" s="1">
        <v>28</v>
      </c>
      <c r="C140" s="1">
        <v>120</v>
      </c>
      <c r="D140" s="1">
        <v>80</v>
      </c>
      <c r="E140" s="1">
        <v>29</v>
      </c>
    </row>
    <row r="141" spans="1:5" x14ac:dyDescent="0.2">
      <c r="A141" s="1">
        <v>1</v>
      </c>
      <c r="B141" s="1">
        <v>60</v>
      </c>
      <c r="C141" s="1">
        <v>111</v>
      </c>
      <c r="D141" s="1">
        <v>78</v>
      </c>
      <c r="E141" s="1">
        <v>26</v>
      </c>
    </row>
    <row r="142" spans="1:5" x14ac:dyDescent="0.2">
      <c r="A142" s="1">
        <v>1</v>
      </c>
      <c r="B142" s="1">
        <v>51</v>
      </c>
      <c r="C142" s="1">
        <v>122</v>
      </c>
      <c r="D142" s="1">
        <v>110</v>
      </c>
      <c r="E142" s="1">
        <v>18</v>
      </c>
    </row>
    <row r="143" spans="1:5" x14ac:dyDescent="0.2">
      <c r="A143" s="1">
        <v>1</v>
      </c>
      <c r="B143" s="1">
        <v>55</v>
      </c>
      <c r="C143" s="1">
        <v>122</v>
      </c>
      <c r="D143" s="1">
        <v>117</v>
      </c>
      <c r="E143" s="1">
        <v>21</v>
      </c>
    </row>
    <row r="144" spans="1:5" x14ac:dyDescent="0.2">
      <c r="A144" s="1">
        <v>1</v>
      </c>
      <c r="B144" s="1">
        <v>55</v>
      </c>
      <c r="C144" s="1">
        <v>110</v>
      </c>
      <c r="D144" s="1">
        <v>69</v>
      </c>
      <c r="E144" s="1">
        <v>38</v>
      </c>
    </row>
    <row r="145" spans="1:6" x14ac:dyDescent="0.2">
      <c r="A145" s="1">
        <v>0</v>
      </c>
      <c r="B145" s="1">
        <v>50</v>
      </c>
      <c r="C145" s="1">
        <v>113</v>
      </c>
      <c r="D145" s="1">
        <v>84</v>
      </c>
      <c r="E145" s="1">
        <v>39</v>
      </c>
      <c r="F145" t="s">
        <v>14</v>
      </c>
    </row>
    <row r="146" spans="1:6" x14ac:dyDescent="0.2">
      <c r="A146" s="1">
        <v>1</v>
      </c>
      <c r="B146" s="1">
        <v>26</v>
      </c>
      <c r="C146" s="1">
        <v>101</v>
      </c>
      <c r="D146" s="1">
        <v>115</v>
      </c>
      <c r="E146" s="1">
        <v>28</v>
      </c>
    </row>
    <row r="147" spans="1:6" x14ac:dyDescent="0.2">
      <c r="A147" s="1">
        <v>1</v>
      </c>
      <c r="B147" s="1">
        <v>60</v>
      </c>
      <c r="C147" s="1">
        <v>137</v>
      </c>
      <c r="D147" s="1">
        <v>64</v>
      </c>
      <c r="E147" s="1">
        <v>39</v>
      </c>
    </row>
    <row r="148" spans="1:6" x14ac:dyDescent="0.2">
      <c r="A148" s="1">
        <v>0</v>
      </c>
      <c r="B148" s="1">
        <v>35</v>
      </c>
      <c r="C148" s="1">
        <v>121</v>
      </c>
      <c r="D148" s="1">
        <v>71</v>
      </c>
      <c r="E148" s="1">
        <v>20</v>
      </c>
    </row>
    <row r="149" spans="1:6" x14ac:dyDescent="0.2">
      <c r="A149" s="1">
        <v>0</v>
      </c>
      <c r="B149" s="1">
        <v>34</v>
      </c>
      <c r="C149" s="1">
        <v>132</v>
      </c>
      <c r="D149" s="1">
        <v>67</v>
      </c>
      <c r="E149" s="1">
        <v>20</v>
      </c>
    </row>
    <row r="150" spans="1:6" x14ac:dyDescent="0.2">
      <c r="A150" s="1">
        <v>0</v>
      </c>
      <c r="B150" s="1">
        <v>53</v>
      </c>
      <c r="C150" s="1">
        <v>136</v>
      </c>
      <c r="D150" s="1">
        <v>69</v>
      </c>
      <c r="E150" s="1">
        <v>21</v>
      </c>
    </row>
    <row r="151" spans="1:6" x14ac:dyDescent="0.2">
      <c r="A151" s="1">
        <v>0</v>
      </c>
      <c r="B151" s="1">
        <v>28</v>
      </c>
      <c r="C151" s="1">
        <v>152</v>
      </c>
      <c r="D151" s="1">
        <v>94</v>
      </c>
      <c r="E151" s="1">
        <v>28</v>
      </c>
    </row>
    <row r="152" spans="1:6" x14ac:dyDescent="0.2">
      <c r="A152" s="1">
        <v>0</v>
      </c>
      <c r="B152" s="1">
        <v>35</v>
      </c>
      <c r="C152" s="1">
        <v>134</v>
      </c>
      <c r="D152" s="1">
        <v>90</v>
      </c>
      <c r="E152" s="1">
        <v>34</v>
      </c>
    </row>
    <row r="153" spans="1:6" x14ac:dyDescent="0.2">
      <c r="A153" s="1">
        <v>1</v>
      </c>
      <c r="B153" s="1">
        <v>31</v>
      </c>
      <c r="C153" s="1">
        <v>109</v>
      </c>
      <c r="D153" s="1">
        <v>104</v>
      </c>
      <c r="E153" s="1">
        <v>37</v>
      </c>
    </row>
    <row r="154" spans="1:6" x14ac:dyDescent="0.2">
      <c r="A154" s="1">
        <v>1</v>
      </c>
      <c r="B154" s="1">
        <v>65</v>
      </c>
      <c r="C154" s="1">
        <v>111</v>
      </c>
      <c r="D154" s="1">
        <v>90</v>
      </c>
      <c r="E154" s="1">
        <v>36</v>
      </c>
    </row>
    <row r="155" spans="1:6" x14ac:dyDescent="0.2">
      <c r="A155" s="1">
        <v>0</v>
      </c>
      <c r="B155" s="1">
        <v>53</v>
      </c>
      <c r="C155" s="1">
        <v>129</v>
      </c>
      <c r="D155" s="1">
        <v>103</v>
      </c>
      <c r="E155" s="1">
        <v>17</v>
      </c>
    </row>
    <row r="156" spans="1:6" x14ac:dyDescent="0.2">
      <c r="A156" s="1">
        <v>1</v>
      </c>
      <c r="B156" s="1">
        <v>46</v>
      </c>
      <c r="C156" s="1">
        <v>113</v>
      </c>
      <c r="D156" s="1">
        <v>71</v>
      </c>
      <c r="E156" s="1">
        <v>21</v>
      </c>
    </row>
    <row r="157" spans="1:6" x14ac:dyDescent="0.2">
      <c r="A157" s="1">
        <v>0</v>
      </c>
      <c r="B157" s="1">
        <v>38</v>
      </c>
      <c r="C157" s="1">
        <v>136</v>
      </c>
      <c r="D157" s="1">
        <v>62</v>
      </c>
      <c r="E157" s="1">
        <v>27</v>
      </c>
    </row>
    <row r="158" spans="1:6" x14ac:dyDescent="0.2">
      <c r="A158" s="1">
        <v>1</v>
      </c>
      <c r="B158" s="1">
        <v>35</v>
      </c>
      <c r="C158" s="1">
        <v>118</v>
      </c>
      <c r="D158" s="1">
        <v>126</v>
      </c>
      <c r="E158" s="1">
        <v>23</v>
      </c>
    </row>
    <row r="159" spans="1:6" x14ac:dyDescent="0.2">
      <c r="A159" s="1">
        <v>0</v>
      </c>
      <c r="B159" s="1">
        <v>31</v>
      </c>
      <c r="C159" s="1">
        <v>145</v>
      </c>
      <c r="D159" s="1">
        <v>127</v>
      </c>
      <c r="E159" s="1">
        <v>26</v>
      </c>
    </row>
    <row r="160" spans="1:6" x14ac:dyDescent="0.2">
      <c r="A160" s="1">
        <v>1</v>
      </c>
      <c r="B160" s="1">
        <v>43</v>
      </c>
      <c r="C160" s="1">
        <v>126</v>
      </c>
      <c r="D160" s="1">
        <v>84</v>
      </c>
      <c r="E160" s="1">
        <v>40</v>
      </c>
    </row>
    <row r="161" spans="1:5" x14ac:dyDescent="0.2">
      <c r="A161" s="1">
        <v>1</v>
      </c>
      <c r="B161" s="1">
        <v>51</v>
      </c>
      <c r="C161" s="1">
        <v>108</v>
      </c>
      <c r="D161" s="1">
        <v>116</v>
      </c>
      <c r="E161" s="1">
        <v>17</v>
      </c>
    </row>
    <row r="162" spans="1:5" x14ac:dyDescent="0.2">
      <c r="A162" s="1">
        <v>1</v>
      </c>
      <c r="B162" s="1">
        <v>34</v>
      </c>
      <c r="C162" s="1">
        <v>148</v>
      </c>
      <c r="D162" s="1">
        <v>124</v>
      </c>
      <c r="E162" s="1">
        <v>37</v>
      </c>
    </row>
    <row r="163" spans="1:5" x14ac:dyDescent="0.2">
      <c r="A163" s="1">
        <v>1</v>
      </c>
      <c r="B163" s="1">
        <v>60</v>
      </c>
      <c r="C163" s="1">
        <v>131</v>
      </c>
      <c r="D163" s="1">
        <v>110</v>
      </c>
      <c r="E163" s="1">
        <v>39</v>
      </c>
    </row>
    <row r="164" spans="1:5" x14ac:dyDescent="0.2">
      <c r="A164" s="1">
        <v>0</v>
      </c>
      <c r="B164" s="1">
        <v>70</v>
      </c>
      <c r="C164" s="1">
        <v>105</v>
      </c>
      <c r="D164" s="1">
        <v>108</v>
      </c>
      <c r="E164" s="1">
        <v>23</v>
      </c>
    </row>
    <row r="165" spans="1:5" x14ac:dyDescent="0.2">
      <c r="A165" s="1">
        <v>1</v>
      </c>
      <c r="B165" s="1">
        <v>36</v>
      </c>
      <c r="C165" s="1">
        <v>145</v>
      </c>
      <c r="D165" s="1">
        <v>125</v>
      </c>
      <c r="E165" s="1">
        <v>24</v>
      </c>
    </row>
    <row r="166" spans="1:5" x14ac:dyDescent="0.2">
      <c r="A166" s="1">
        <v>0</v>
      </c>
      <c r="B166" s="1">
        <v>29</v>
      </c>
      <c r="C166" s="1">
        <v>121</v>
      </c>
      <c r="D166" s="1">
        <v>79</v>
      </c>
      <c r="E166" s="1">
        <v>19</v>
      </c>
    </row>
    <row r="167" spans="1:5" x14ac:dyDescent="0.2">
      <c r="A167" s="1">
        <v>1</v>
      </c>
      <c r="B167" s="1">
        <v>28</v>
      </c>
      <c r="C167" s="1">
        <v>124</v>
      </c>
      <c r="D167" s="1">
        <v>123</v>
      </c>
      <c r="E167" s="1">
        <v>40</v>
      </c>
    </row>
    <row r="168" spans="1:5" x14ac:dyDescent="0.2">
      <c r="A168" s="1">
        <v>1</v>
      </c>
      <c r="B168" s="1">
        <v>57</v>
      </c>
      <c r="C168" s="1">
        <v>156</v>
      </c>
      <c r="D168" s="1">
        <v>113</v>
      </c>
      <c r="E168" s="1">
        <v>38</v>
      </c>
    </row>
    <row r="169" spans="1:5" x14ac:dyDescent="0.2">
      <c r="A169" s="1">
        <v>1</v>
      </c>
      <c r="B169" s="1">
        <v>63</v>
      </c>
      <c r="C169" s="1">
        <v>141</v>
      </c>
      <c r="D169" s="1">
        <v>128</v>
      </c>
      <c r="E169" s="1">
        <v>17</v>
      </c>
    </row>
    <row r="170" spans="1:5" x14ac:dyDescent="0.2">
      <c r="A170" s="1">
        <v>1</v>
      </c>
      <c r="B170" s="1">
        <v>32</v>
      </c>
      <c r="C170" s="1">
        <v>119</v>
      </c>
      <c r="D170" s="1">
        <v>60</v>
      </c>
      <c r="E170" s="1">
        <v>34</v>
      </c>
    </row>
    <row r="171" spans="1:5" x14ac:dyDescent="0.2">
      <c r="A171" s="1">
        <v>0</v>
      </c>
      <c r="B171" s="1">
        <v>30</v>
      </c>
      <c r="C171" s="1">
        <v>146</v>
      </c>
      <c r="D171" s="1">
        <v>87</v>
      </c>
      <c r="E171" s="1">
        <v>24</v>
      </c>
    </row>
    <row r="172" spans="1:5" x14ac:dyDescent="0.2">
      <c r="A172" s="1">
        <v>0</v>
      </c>
      <c r="B172" s="1">
        <v>26</v>
      </c>
      <c r="C172" s="1">
        <v>130</v>
      </c>
      <c r="D172" s="1">
        <v>121</v>
      </c>
      <c r="E172" s="1">
        <v>20</v>
      </c>
    </row>
    <row r="173" spans="1:5" x14ac:dyDescent="0.2">
      <c r="A173" s="1">
        <v>0</v>
      </c>
      <c r="B173" s="1">
        <v>34</v>
      </c>
      <c r="C173" s="1">
        <v>145</v>
      </c>
      <c r="D173" s="1">
        <v>63</v>
      </c>
      <c r="E173" s="1">
        <v>31</v>
      </c>
    </row>
    <row r="174" spans="1:5" x14ac:dyDescent="0.2">
      <c r="A174" s="1">
        <v>1</v>
      </c>
      <c r="B174" s="1">
        <v>33</v>
      </c>
      <c r="C174" s="1">
        <v>141</v>
      </c>
      <c r="D174" s="1">
        <v>116</v>
      </c>
      <c r="E174" s="1">
        <v>27</v>
      </c>
    </row>
    <row r="175" spans="1:5" x14ac:dyDescent="0.2">
      <c r="A175" s="1">
        <v>1</v>
      </c>
      <c r="B175" s="1">
        <v>28</v>
      </c>
      <c r="C175" s="1">
        <v>117</v>
      </c>
      <c r="D175" s="1">
        <v>60</v>
      </c>
      <c r="E175" s="1">
        <v>29</v>
      </c>
    </row>
    <row r="176" spans="1:5" x14ac:dyDescent="0.2">
      <c r="A176" s="1">
        <v>0</v>
      </c>
      <c r="B176" s="1">
        <v>36</v>
      </c>
      <c r="C176" s="1">
        <v>109</v>
      </c>
      <c r="D176" s="1">
        <v>100</v>
      </c>
      <c r="E176" s="1">
        <v>27</v>
      </c>
    </row>
    <row r="177" spans="1:5" x14ac:dyDescent="0.2">
      <c r="A177" s="1">
        <v>0</v>
      </c>
      <c r="B177" s="1">
        <v>43</v>
      </c>
      <c r="C177" s="1">
        <v>119</v>
      </c>
      <c r="D177" s="1">
        <v>76</v>
      </c>
      <c r="E177" s="1">
        <v>25</v>
      </c>
    </row>
    <row r="178" spans="1:5" x14ac:dyDescent="0.2">
      <c r="A178" s="1">
        <v>1</v>
      </c>
      <c r="B178" s="1">
        <v>63</v>
      </c>
      <c r="C178" s="1">
        <v>107</v>
      </c>
      <c r="D178" s="1">
        <v>113</v>
      </c>
      <c r="E178" s="1">
        <v>40</v>
      </c>
    </row>
    <row r="179" spans="1:5" x14ac:dyDescent="0.2">
      <c r="A179" s="1">
        <v>0</v>
      </c>
      <c r="B179" s="1">
        <v>47</v>
      </c>
      <c r="C179" s="1">
        <v>116</v>
      </c>
      <c r="D179" s="1">
        <v>61</v>
      </c>
      <c r="E179" s="1">
        <v>27</v>
      </c>
    </row>
    <row r="180" spans="1:5" x14ac:dyDescent="0.2">
      <c r="A180" s="1">
        <v>0</v>
      </c>
      <c r="B180" s="1">
        <v>70</v>
      </c>
      <c r="C180" s="1">
        <v>110</v>
      </c>
      <c r="D180" s="1">
        <v>88</v>
      </c>
      <c r="E180" s="1">
        <v>24</v>
      </c>
    </row>
    <row r="181" spans="1:5" x14ac:dyDescent="0.2">
      <c r="A181" s="1">
        <v>0</v>
      </c>
      <c r="B181" s="1">
        <v>29</v>
      </c>
      <c r="C181" s="1">
        <v>144</v>
      </c>
      <c r="D181" s="1">
        <v>85</v>
      </c>
      <c r="E181" s="1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2CFA-7077-4BD2-AD34-F8FEAF6802CC}">
  <dimension ref="A1:E9"/>
  <sheetViews>
    <sheetView workbookViewId="0">
      <selection activeCell="F13" sqref="F13"/>
    </sheetView>
  </sheetViews>
  <sheetFormatPr baseColWidth="10" defaultRowHeight="15" x14ac:dyDescent="0.2"/>
  <sheetData>
    <row r="1" spans="1:5" x14ac:dyDescent="0.2"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s="1">
        <v>33</v>
      </c>
      <c r="C2" s="1">
        <v>120</v>
      </c>
      <c r="D2" s="1">
        <v>64</v>
      </c>
      <c r="E2" s="1">
        <v>33</v>
      </c>
    </row>
    <row r="3" spans="1:5" x14ac:dyDescent="0.2">
      <c r="A3">
        <v>2</v>
      </c>
      <c r="B3" s="1">
        <v>55</v>
      </c>
      <c r="C3" s="1">
        <v>115</v>
      </c>
      <c r="D3" s="1">
        <v>81</v>
      </c>
      <c r="E3" s="1">
        <v>32</v>
      </c>
    </row>
    <row r="4" spans="1:5" x14ac:dyDescent="0.2">
      <c r="A4">
        <v>3</v>
      </c>
      <c r="B4" s="1">
        <v>51</v>
      </c>
      <c r="C4" s="1">
        <v>130</v>
      </c>
      <c r="D4" s="1">
        <v>70</v>
      </c>
      <c r="E4" s="1">
        <v>20</v>
      </c>
    </row>
    <row r="5" spans="1:5" x14ac:dyDescent="0.2">
      <c r="A5">
        <v>4</v>
      </c>
      <c r="B5" s="1">
        <v>65</v>
      </c>
      <c r="C5" s="1">
        <v>101</v>
      </c>
      <c r="D5" s="1">
        <v>63</v>
      </c>
      <c r="E5" s="1">
        <v>18</v>
      </c>
    </row>
    <row r="6" spans="1:5" x14ac:dyDescent="0.2">
      <c r="A6">
        <v>5</v>
      </c>
      <c r="B6" s="1">
        <v>62</v>
      </c>
      <c r="C6" s="1">
        <v>109</v>
      </c>
      <c r="D6" s="1">
        <v>110</v>
      </c>
      <c r="E6" s="1">
        <v>38</v>
      </c>
    </row>
    <row r="7" spans="1:5" x14ac:dyDescent="0.2">
      <c r="A7">
        <v>6</v>
      </c>
      <c r="B7" s="1">
        <v>60</v>
      </c>
      <c r="C7" s="1">
        <v>130</v>
      </c>
      <c r="D7" s="1">
        <v>69</v>
      </c>
      <c r="E7" s="1">
        <v>35</v>
      </c>
    </row>
    <row r="8" spans="1:5" x14ac:dyDescent="0.2">
      <c r="A8">
        <v>7</v>
      </c>
      <c r="B8" s="1">
        <v>61</v>
      </c>
      <c r="C8" s="1">
        <v>124</v>
      </c>
      <c r="D8" s="1">
        <v>95</v>
      </c>
      <c r="E8" s="1">
        <v>36</v>
      </c>
    </row>
    <row r="9" spans="1:5" x14ac:dyDescent="0.2">
      <c r="A9">
        <v>8</v>
      </c>
      <c r="B9" s="1">
        <v>53</v>
      </c>
      <c r="C9" s="1">
        <v>150</v>
      </c>
      <c r="D9" s="1">
        <v>81</v>
      </c>
      <c r="E9" s="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EC22-2FB2-3D42-A182-216F65DDFA05}">
  <sheetPr filterMode="1"/>
  <dimension ref="A1:T195"/>
  <sheetViews>
    <sheetView topLeftCell="I1" zoomScale="150" workbookViewId="0">
      <selection activeCell="P4" sqref="P4"/>
    </sheetView>
  </sheetViews>
  <sheetFormatPr baseColWidth="10" defaultRowHeight="15" x14ac:dyDescent="0.2"/>
  <cols>
    <col min="1" max="1" width="10.83203125" style="1"/>
    <col min="2" max="2" width="13.6640625" style="1" customWidth="1"/>
    <col min="3" max="5" width="10.83203125" style="1"/>
    <col min="6" max="6" width="11.6640625" style="1" customWidth="1"/>
    <col min="7" max="9" width="10.83203125" style="1"/>
    <col min="10" max="10" width="12.1640625" style="1" customWidth="1"/>
    <col min="11" max="13" width="10.83203125" style="1"/>
    <col min="14" max="14" width="11.5" style="1" customWidth="1"/>
    <col min="15" max="16384" width="10.83203125" style="1"/>
  </cols>
  <sheetData>
    <row r="1" spans="1:20" x14ac:dyDescent="0.2">
      <c r="A1" s="37" t="s">
        <v>5</v>
      </c>
      <c r="B1" s="38">
        <f>+AVERAGE(A16:A5857)</f>
        <v>45.383333333333333</v>
      </c>
      <c r="E1" s="37" t="s">
        <v>5</v>
      </c>
      <c r="F1" s="38">
        <f>+AVERAGE(E16:E195)</f>
        <v>126.23333333333333</v>
      </c>
      <c r="I1" s="37" t="s">
        <v>5</v>
      </c>
      <c r="J1" s="38">
        <f>+AVERAGE(I16:I195)</f>
        <v>91.322222222222223</v>
      </c>
      <c r="M1" s="37" t="s">
        <v>5</v>
      </c>
      <c r="N1" s="38">
        <f>+AVERAGE(M16:M195)</f>
        <v>28.388888888888889</v>
      </c>
    </row>
    <row r="2" spans="1:20" x14ac:dyDescent="0.2">
      <c r="A2" s="7"/>
      <c r="B2" s="8"/>
      <c r="E2" s="7"/>
      <c r="F2" s="8"/>
      <c r="I2" s="7"/>
      <c r="J2" s="8"/>
      <c r="M2" s="7"/>
      <c r="N2" s="8"/>
    </row>
    <row r="3" spans="1:20" x14ac:dyDescent="0.2">
      <c r="A3" s="9" t="s">
        <v>6</v>
      </c>
      <c r="B3" s="10">
        <f>+COUNTIF(B$16:B$5857,0)</f>
        <v>90</v>
      </c>
      <c r="C3" s="11"/>
      <c r="E3" s="9" t="s">
        <v>6</v>
      </c>
      <c r="F3" s="10">
        <f>+COUNTIF(F$16:F$5857,0)</f>
        <v>93</v>
      </c>
      <c r="G3" s="11"/>
      <c r="I3" s="9" t="s">
        <v>6</v>
      </c>
      <c r="J3" s="10">
        <f>+COUNTIF(J$16:J$5857,0)</f>
        <v>93</v>
      </c>
      <c r="K3" s="11"/>
      <c r="M3" s="9" t="s">
        <v>6</v>
      </c>
      <c r="N3" s="10">
        <f>+COUNTIF(N$16:N$5857,0)</f>
        <v>91</v>
      </c>
      <c r="O3" s="11"/>
    </row>
    <row r="4" spans="1:20" x14ac:dyDescent="0.2">
      <c r="A4" s="12" t="s">
        <v>7</v>
      </c>
      <c r="B4" s="1">
        <f>+COUNTIFS(B$16:B$5857,0,C$16:C$5857,0)</f>
        <v>50</v>
      </c>
      <c r="C4" s="13">
        <f>B4/B3</f>
        <v>0.55555555555555558</v>
      </c>
      <c r="E4" s="12" t="s">
        <v>7</v>
      </c>
      <c r="F4" s="1">
        <f>+COUNTIFS(F$16:F$5857,0,G$16:G$5857,0)</f>
        <v>34</v>
      </c>
      <c r="G4" s="13">
        <f>F4/F3</f>
        <v>0.36559139784946237</v>
      </c>
      <c r="I4" s="12" t="s">
        <v>7</v>
      </c>
      <c r="J4" s="1">
        <f>+COUNTIFS(J$16:J$5857,0,K$16:K$5857,0)</f>
        <v>45</v>
      </c>
      <c r="K4" s="13">
        <f>J4/J3</f>
        <v>0.4838709677419355</v>
      </c>
      <c r="M4" s="12" t="s">
        <v>7</v>
      </c>
      <c r="N4" s="1">
        <f>+COUNTIFS(N$16:N$5857,0,O$16:O$5857,0)</f>
        <v>52</v>
      </c>
      <c r="O4" s="13">
        <f>N4/N3</f>
        <v>0.5714285714285714</v>
      </c>
      <c r="Q4" s="6"/>
      <c r="R4" s="6"/>
      <c r="S4" s="6"/>
      <c r="T4" s="6"/>
    </row>
    <row r="5" spans="1:20" x14ac:dyDescent="0.2">
      <c r="A5" s="12" t="s">
        <v>8</v>
      </c>
      <c r="B5" s="1">
        <f>+COUNTIFS(B$16:B$5857,0,C$16:C$5857,1)</f>
        <v>40</v>
      </c>
      <c r="C5" s="13">
        <f>1-C4</f>
        <v>0.44444444444444442</v>
      </c>
      <c r="E5" s="12" t="s">
        <v>8</v>
      </c>
      <c r="F5" s="1">
        <f>+COUNTIFS(F$16:F$5857,0,G$16:G$5857,1)</f>
        <v>59</v>
      </c>
      <c r="G5" s="13">
        <f>1-G4</f>
        <v>0.63440860215053763</v>
      </c>
      <c r="I5" s="12" t="s">
        <v>8</v>
      </c>
      <c r="J5" s="1">
        <f>+COUNTIFS(J$16:J$5857,0,K$16:K$5857,1)</f>
        <v>48</v>
      </c>
      <c r="K5" s="13">
        <f>1-K4</f>
        <v>0.5161290322580645</v>
      </c>
      <c r="M5" s="12" t="s">
        <v>8</v>
      </c>
      <c r="N5" s="1">
        <f>+COUNTIFS(N$16:N$5857,0,O$16:O$5857,1)</f>
        <v>39</v>
      </c>
      <c r="O5" s="13">
        <f>1-O4</f>
        <v>0.4285714285714286</v>
      </c>
      <c r="Q5" s="6"/>
      <c r="R5" s="6"/>
      <c r="S5" s="6"/>
      <c r="T5" s="6"/>
    </row>
    <row r="6" spans="1:20" x14ac:dyDescent="0.2">
      <c r="A6" s="14"/>
      <c r="B6" s="15" t="s">
        <v>9</v>
      </c>
      <c r="C6" s="16">
        <f>1-C4^2-C5^2</f>
        <v>0.49382716049382713</v>
      </c>
      <c r="E6" s="14"/>
      <c r="F6" s="15" t="s">
        <v>9</v>
      </c>
      <c r="G6" s="16">
        <f>1-G4^2-G5^2</f>
        <v>0.46386865533587701</v>
      </c>
      <c r="I6" s="14"/>
      <c r="J6" s="15" t="s">
        <v>9</v>
      </c>
      <c r="K6" s="16">
        <f>1-K4^2-K5^2</f>
        <v>0.49947970863683661</v>
      </c>
      <c r="M6" s="14"/>
      <c r="N6" s="15" t="s">
        <v>9</v>
      </c>
      <c r="O6" s="16">
        <f>1-O4^2-O5^2</f>
        <v>0.48979591836734698</v>
      </c>
    </row>
    <row r="7" spans="1:20" x14ac:dyDescent="0.2">
      <c r="B7" s="3"/>
      <c r="C7" s="17"/>
      <c r="F7" s="3"/>
      <c r="G7" s="17"/>
      <c r="J7" s="3"/>
      <c r="K7" s="17"/>
      <c r="N7" s="3"/>
      <c r="O7" s="17"/>
    </row>
    <row r="8" spans="1:20" x14ac:dyDescent="0.2">
      <c r="A8" s="9" t="s">
        <v>10</v>
      </c>
      <c r="B8" s="10">
        <f>+COUNTIF(B$16:B$5857,1)</f>
        <v>90</v>
      </c>
      <c r="C8" s="18"/>
      <c r="E8" s="9" t="s">
        <v>10</v>
      </c>
      <c r="F8" s="10">
        <f>+COUNTIF(F$16:F$5857,1)</f>
        <v>87</v>
      </c>
      <c r="G8" s="18"/>
      <c r="I8" s="9" t="s">
        <v>10</v>
      </c>
      <c r="J8" s="10">
        <f>+COUNTIF(J$16:J$5857,1)</f>
        <v>87</v>
      </c>
      <c r="K8" s="18"/>
      <c r="M8" s="9" t="s">
        <v>10</v>
      </c>
      <c r="N8" s="10">
        <f>+COUNTIF(N$16:N$5857,1)</f>
        <v>89</v>
      </c>
      <c r="O8" s="18"/>
    </row>
    <row r="9" spans="1:20" x14ac:dyDescent="0.2">
      <c r="A9" s="12" t="s">
        <v>11</v>
      </c>
      <c r="B9" s="1">
        <f>+COUNTIFS(B$16:B$5857,1,C$16:C$5857,0)</f>
        <v>23</v>
      </c>
      <c r="C9" s="13">
        <f>B9/B8</f>
        <v>0.25555555555555554</v>
      </c>
      <c r="E9" s="12" t="s">
        <v>11</v>
      </c>
      <c r="F9" s="1">
        <f>+COUNTIFS(F$16:F$5857,1,G$16:G$5857,0)</f>
        <v>39</v>
      </c>
      <c r="G9" s="13">
        <f>F9/F8</f>
        <v>0.44827586206896552</v>
      </c>
      <c r="I9" s="12" t="s">
        <v>11</v>
      </c>
      <c r="J9" s="1">
        <f>+COUNTIFS(J$16:J$5857,1,K$16:K$5857,0)</f>
        <v>28</v>
      </c>
      <c r="K9" s="13">
        <f>J9/J8</f>
        <v>0.32183908045977011</v>
      </c>
      <c r="M9" s="12" t="s">
        <v>11</v>
      </c>
      <c r="N9" s="1">
        <f>+COUNTIFS(N$16:N$5857,1,O$16:O$5857,0)</f>
        <v>21</v>
      </c>
      <c r="O9" s="13">
        <f>N9/N8</f>
        <v>0.23595505617977527</v>
      </c>
    </row>
    <row r="10" spans="1:20" x14ac:dyDescent="0.2">
      <c r="A10" s="12" t="s">
        <v>12</v>
      </c>
      <c r="B10" s="1">
        <f>+COUNTIFS(B$16:B$5857,1,C$16:C$5857,1)</f>
        <v>67</v>
      </c>
      <c r="C10" s="13">
        <f>B10/B8</f>
        <v>0.74444444444444446</v>
      </c>
      <c r="E10" s="12" t="s">
        <v>12</v>
      </c>
      <c r="F10" s="1">
        <f>+COUNTIFS(F$16:F$5857,1,G$16:G$5857,1)</f>
        <v>48</v>
      </c>
      <c r="G10" s="13">
        <f>F10/F8</f>
        <v>0.55172413793103448</v>
      </c>
      <c r="I10" s="12" t="s">
        <v>12</v>
      </c>
      <c r="J10" s="1">
        <f>+COUNTIFS(J$16:J$5857,1,K$16:K$5857,1)</f>
        <v>59</v>
      </c>
      <c r="K10" s="13">
        <f>J10/J8</f>
        <v>0.67816091954022983</v>
      </c>
      <c r="M10" s="12" t="s">
        <v>12</v>
      </c>
      <c r="N10" s="1">
        <f>+COUNTIFS(N$16:N$5857,1,O$16:O$5857,1)</f>
        <v>68</v>
      </c>
      <c r="O10" s="13">
        <f>N10/N8</f>
        <v>0.7640449438202247</v>
      </c>
    </row>
    <row r="11" spans="1:20" x14ac:dyDescent="0.2">
      <c r="A11" s="14"/>
      <c r="B11" s="15" t="s">
        <v>9</v>
      </c>
      <c r="C11" s="16">
        <f>1-C9^2-C10^2</f>
        <v>0.38049382716049385</v>
      </c>
      <c r="E11" s="14"/>
      <c r="F11" s="15" t="s">
        <v>9</v>
      </c>
      <c r="G11" s="16">
        <f>1-G9^2-G10^2</f>
        <v>0.49464922711058268</v>
      </c>
      <c r="I11" s="14"/>
      <c r="J11" s="15" t="s">
        <v>9</v>
      </c>
      <c r="K11" s="16">
        <f>1-K9^2-K10^2</f>
        <v>0.43651737349715958</v>
      </c>
      <c r="M11" s="14"/>
      <c r="N11" s="15" t="s">
        <v>9</v>
      </c>
      <c r="O11" s="16">
        <f>1-O9^2-O10^2</f>
        <v>0.36056053528594878</v>
      </c>
    </row>
    <row r="12" spans="1:20" x14ac:dyDescent="0.2">
      <c r="A12" s="2"/>
      <c r="B12" s="3"/>
      <c r="C12" s="4"/>
      <c r="E12" s="2"/>
      <c r="F12" s="3"/>
      <c r="G12" s="4"/>
      <c r="I12" s="2"/>
      <c r="J12" s="3"/>
      <c r="K12" s="4"/>
      <c r="M12" s="2"/>
      <c r="N12" s="3"/>
      <c r="O12" s="4"/>
    </row>
    <row r="13" spans="1:20" x14ac:dyDescent="0.2">
      <c r="A13" s="28" t="s">
        <v>13</v>
      </c>
      <c r="B13" s="29"/>
      <c r="C13" s="30">
        <f>+((B3*C6)+(B8*C11))/(B3+B8)</f>
        <v>0.43716049382716055</v>
      </c>
      <c r="E13" s="28" t="s">
        <v>13</v>
      </c>
      <c r="F13" s="29"/>
      <c r="G13" s="30">
        <f>+((F3*G6)+(F8*G11))/(F3+F8)</f>
        <v>0.47874593169365137</v>
      </c>
      <c r="I13" s="28" t="s">
        <v>13</v>
      </c>
      <c r="J13" s="29"/>
      <c r="K13" s="30">
        <f>+((J3*K6)+(J8*K11))/(J3+J8)</f>
        <v>0.4690479133193261</v>
      </c>
      <c r="M13" s="28" t="s">
        <v>13</v>
      </c>
      <c r="N13" s="29"/>
      <c r="O13" s="30">
        <f>+((N3*O6)+(N8*O11))/(N3+N8)</f>
        <v>0.42589620117710009</v>
      </c>
    </row>
    <row r="14" spans="1:20" x14ac:dyDescent="0.2">
      <c r="A14" s="7"/>
      <c r="E14" s="7"/>
      <c r="I14" s="7"/>
    </row>
    <row r="15" spans="1:20" s="5" customFormat="1" x14ac:dyDescent="0.2">
      <c r="A15" s="5" t="s">
        <v>1</v>
      </c>
      <c r="B15" s="5" t="s">
        <v>15</v>
      </c>
      <c r="C15" s="5" t="s">
        <v>0</v>
      </c>
      <c r="E15" s="5" t="s">
        <v>2</v>
      </c>
      <c r="F15" s="5" t="s">
        <v>15</v>
      </c>
      <c r="G15" s="5" t="s">
        <v>0</v>
      </c>
      <c r="I15" s="5" t="s">
        <v>3</v>
      </c>
      <c r="J15" s="5" t="s">
        <v>15</v>
      </c>
      <c r="K15" s="5" t="s">
        <v>0</v>
      </c>
      <c r="M15" s="5" t="s">
        <v>4</v>
      </c>
      <c r="N15" s="5" t="s">
        <v>15</v>
      </c>
      <c r="O15" s="5" t="s">
        <v>0</v>
      </c>
    </row>
    <row r="16" spans="1:20" customFormat="1" hidden="1" x14ac:dyDescent="0.2">
      <c r="A16" s="1">
        <v>44</v>
      </c>
      <c r="B16" s="1">
        <f>+IF(A16&gt;B$1,1,0)</f>
        <v>0</v>
      </c>
      <c r="C16" s="1">
        <v>0</v>
      </c>
      <c r="E16" s="1">
        <v>112</v>
      </c>
      <c r="F16" s="1">
        <f>+IF(E16&gt;F$1,1,0)</f>
        <v>0</v>
      </c>
      <c r="G16" s="1">
        <v>0</v>
      </c>
      <c r="I16" s="1">
        <v>111</v>
      </c>
      <c r="J16" s="1">
        <f>+IF(I16&gt;J$1,1,0)</f>
        <v>1</v>
      </c>
      <c r="K16" s="1">
        <v>0</v>
      </c>
      <c r="M16" s="1">
        <v>17</v>
      </c>
      <c r="N16" s="1">
        <f>+IF(M16&gt;N$1,1,0)</f>
        <v>0</v>
      </c>
      <c r="O16" s="1">
        <v>0</v>
      </c>
    </row>
    <row r="17" spans="1:15" customFormat="1" hidden="1" x14ac:dyDescent="0.2">
      <c r="A17" s="1">
        <v>55</v>
      </c>
      <c r="B17" s="1">
        <f t="shared" ref="B17:B80" si="0">+IF(A17&gt;B$1,1,0)</f>
        <v>1</v>
      </c>
      <c r="C17" s="1">
        <v>1</v>
      </c>
      <c r="E17" s="1">
        <v>128</v>
      </c>
      <c r="F17" s="1">
        <f t="shared" ref="F17:F80" si="1">+IF(E17&gt;F$1,1,0)</f>
        <v>1</v>
      </c>
      <c r="G17" s="1">
        <v>1</v>
      </c>
      <c r="I17" s="1">
        <v>90</v>
      </c>
      <c r="J17" s="1">
        <f t="shared" ref="J17:J80" si="2">+IF(I17&gt;J$1,1,0)</f>
        <v>0</v>
      </c>
      <c r="K17" s="1">
        <v>1</v>
      </c>
      <c r="M17" s="1">
        <v>27</v>
      </c>
      <c r="N17" s="1">
        <f t="shared" ref="N17:N80" si="3">+IF(M17&gt;N$1,1,0)</f>
        <v>0</v>
      </c>
      <c r="O17" s="1">
        <v>1</v>
      </c>
    </row>
    <row r="18" spans="1:15" customFormat="1" hidden="1" x14ac:dyDescent="0.2">
      <c r="A18" s="1">
        <v>47</v>
      </c>
      <c r="B18" s="1">
        <f t="shared" si="0"/>
        <v>1</v>
      </c>
      <c r="C18" s="1">
        <v>1</v>
      </c>
      <c r="E18" s="1">
        <v>131</v>
      </c>
      <c r="F18" s="1">
        <f t="shared" si="1"/>
        <v>1</v>
      </c>
      <c r="G18" s="1">
        <v>1</v>
      </c>
      <c r="I18" s="1">
        <v>94</v>
      </c>
      <c r="J18" s="1">
        <f t="shared" si="2"/>
        <v>1</v>
      </c>
      <c r="K18" s="1">
        <v>1</v>
      </c>
      <c r="M18" s="1">
        <v>26</v>
      </c>
      <c r="N18" s="1">
        <f t="shared" si="3"/>
        <v>0</v>
      </c>
      <c r="O18" s="1">
        <v>1</v>
      </c>
    </row>
    <row r="19" spans="1:15" customFormat="1" hidden="1" x14ac:dyDescent="0.2">
      <c r="A19" s="1">
        <v>31</v>
      </c>
      <c r="B19" s="1">
        <f t="shared" si="0"/>
        <v>0</v>
      </c>
      <c r="C19" s="1">
        <v>0</v>
      </c>
      <c r="E19" s="1">
        <v>151</v>
      </c>
      <c r="F19" s="1">
        <f t="shared" si="1"/>
        <v>1</v>
      </c>
      <c r="G19" s="1">
        <v>0</v>
      </c>
      <c r="I19" s="1">
        <v>104</v>
      </c>
      <c r="J19" s="1">
        <f t="shared" si="2"/>
        <v>1</v>
      </c>
      <c r="K19" s="1">
        <v>0</v>
      </c>
      <c r="M19" s="1">
        <v>17</v>
      </c>
      <c r="N19" s="1">
        <f t="shared" si="3"/>
        <v>0</v>
      </c>
      <c r="O19" s="1">
        <v>0</v>
      </c>
    </row>
    <row r="20" spans="1:15" customFormat="1" hidden="1" x14ac:dyDescent="0.2">
      <c r="A20" s="1">
        <v>65</v>
      </c>
      <c r="B20" s="1">
        <f t="shared" si="0"/>
        <v>1</v>
      </c>
      <c r="C20" s="1">
        <v>1</v>
      </c>
      <c r="E20" s="1">
        <v>148</v>
      </c>
      <c r="F20" s="1">
        <f t="shared" si="1"/>
        <v>1</v>
      </c>
      <c r="G20" s="1">
        <v>1</v>
      </c>
      <c r="I20" s="1">
        <v>117</v>
      </c>
      <c r="J20" s="1">
        <f t="shared" si="2"/>
        <v>1</v>
      </c>
      <c r="K20" s="1">
        <v>1</v>
      </c>
      <c r="M20" s="1">
        <v>17</v>
      </c>
      <c r="N20" s="1">
        <f t="shared" si="3"/>
        <v>0</v>
      </c>
      <c r="O20" s="1">
        <v>1</v>
      </c>
    </row>
    <row r="21" spans="1:15" x14ac:dyDescent="0.2">
      <c r="A21" s="1">
        <v>37</v>
      </c>
      <c r="B21" s="1">
        <f t="shared" si="0"/>
        <v>0</v>
      </c>
      <c r="C21" s="1">
        <v>1</v>
      </c>
      <c r="E21" s="1">
        <v>137</v>
      </c>
      <c r="F21" s="1">
        <f t="shared" si="1"/>
        <v>1</v>
      </c>
      <c r="G21" s="1">
        <v>1</v>
      </c>
      <c r="I21" s="1">
        <v>66</v>
      </c>
      <c r="J21" s="1">
        <f t="shared" si="2"/>
        <v>0</v>
      </c>
      <c r="K21" s="1">
        <v>1</v>
      </c>
      <c r="M21" s="1">
        <v>39</v>
      </c>
      <c r="N21" s="1">
        <f t="shared" si="3"/>
        <v>1</v>
      </c>
      <c r="O21" s="1">
        <v>1</v>
      </c>
    </row>
    <row r="22" spans="1:15" x14ac:dyDescent="0.2">
      <c r="A22" s="1">
        <v>64</v>
      </c>
      <c r="B22" s="1">
        <f t="shared" si="0"/>
        <v>1</v>
      </c>
      <c r="C22" s="1">
        <v>1</v>
      </c>
      <c r="E22" s="1">
        <v>152</v>
      </c>
      <c r="F22" s="1">
        <f t="shared" si="1"/>
        <v>1</v>
      </c>
      <c r="G22" s="1">
        <v>1</v>
      </c>
      <c r="I22" s="1">
        <v>92</v>
      </c>
      <c r="J22" s="1">
        <f t="shared" si="2"/>
        <v>1</v>
      </c>
      <c r="K22" s="1">
        <v>1</v>
      </c>
      <c r="M22" s="1">
        <v>30</v>
      </c>
      <c r="N22" s="1">
        <f t="shared" si="3"/>
        <v>1</v>
      </c>
      <c r="O22" s="1">
        <v>1</v>
      </c>
    </row>
    <row r="23" spans="1:15" x14ac:dyDescent="0.2">
      <c r="A23" s="1">
        <v>65</v>
      </c>
      <c r="B23" s="1">
        <f t="shared" si="0"/>
        <v>1</v>
      </c>
      <c r="C23" s="1">
        <v>1</v>
      </c>
      <c r="E23" s="1">
        <v>136</v>
      </c>
      <c r="F23" s="1">
        <f t="shared" si="1"/>
        <v>1</v>
      </c>
      <c r="G23" s="1">
        <v>1</v>
      </c>
      <c r="I23" s="1">
        <v>92</v>
      </c>
      <c r="J23" s="1">
        <f t="shared" si="2"/>
        <v>1</v>
      </c>
      <c r="K23" s="1">
        <v>1</v>
      </c>
      <c r="M23" s="1">
        <v>33</v>
      </c>
      <c r="N23" s="1">
        <f t="shared" si="3"/>
        <v>1</v>
      </c>
      <c r="O23" s="1">
        <v>1</v>
      </c>
    </row>
    <row r="24" spans="1:15" x14ac:dyDescent="0.2">
      <c r="A24" s="1">
        <v>55</v>
      </c>
      <c r="B24" s="1">
        <f t="shared" si="0"/>
        <v>1</v>
      </c>
      <c r="C24" s="1">
        <v>1</v>
      </c>
      <c r="E24" s="1">
        <v>142</v>
      </c>
      <c r="F24" s="1">
        <f t="shared" si="1"/>
        <v>1</v>
      </c>
      <c r="G24" s="1">
        <v>1</v>
      </c>
      <c r="I24" s="1">
        <v>88</v>
      </c>
      <c r="J24" s="1">
        <f t="shared" si="2"/>
        <v>0</v>
      </c>
      <c r="K24" s="1">
        <v>1</v>
      </c>
      <c r="M24" s="1">
        <v>36</v>
      </c>
      <c r="N24" s="1">
        <f t="shared" si="3"/>
        <v>1</v>
      </c>
      <c r="O24" s="1">
        <v>1</v>
      </c>
    </row>
    <row r="25" spans="1:15" customFormat="1" hidden="1" x14ac:dyDescent="0.2">
      <c r="A25" s="1">
        <v>50</v>
      </c>
      <c r="B25" s="1">
        <f t="shared" si="0"/>
        <v>1</v>
      </c>
      <c r="C25" s="1">
        <v>1</v>
      </c>
      <c r="E25" s="1">
        <v>131</v>
      </c>
      <c r="F25" s="1">
        <f t="shared" si="1"/>
        <v>1</v>
      </c>
      <c r="G25" s="1">
        <v>1</v>
      </c>
      <c r="I25" s="1">
        <v>107</v>
      </c>
      <c r="J25" s="1">
        <f t="shared" si="2"/>
        <v>1</v>
      </c>
      <c r="K25" s="1">
        <v>1</v>
      </c>
      <c r="M25" s="1">
        <v>19</v>
      </c>
      <c r="N25" s="1">
        <f t="shared" si="3"/>
        <v>0</v>
      </c>
      <c r="O25" s="1">
        <v>1</v>
      </c>
    </row>
    <row r="26" spans="1:15" customFormat="1" hidden="1" x14ac:dyDescent="0.2">
      <c r="A26" s="1">
        <v>39</v>
      </c>
      <c r="B26" s="1">
        <f t="shared" si="0"/>
        <v>0</v>
      </c>
      <c r="C26" s="1">
        <v>1</v>
      </c>
      <c r="E26" s="1">
        <v>112</v>
      </c>
      <c r="F26" s="1">
        <f t="shared" si="1"/>
        <v>0</v>
      </c>
      <c r="G26" s="1">
        <v>1</v>
      </c>
      <c r="I26" s="1">
        <v>93</v>
      </c>
      <c r="J26" s="1">
        <f t="shared" si="2"/>
        <v>1</v>
      </c>
      <c r="K26" s="1">
        <v>1</v>
      </c>
      <c r="M26" s="1">
        <v>27</v>
      </c>
      <c r="N26" s="1">
        <f t="shared" si="3"/>
        <v>0</v>
      </c>
      <c r="O26" s="1">
        <v>1</v>
      </c>
    </row>
    <row r="27" spans="1:15" x14ac:dyDescent="0.2">
      <c r="A27" s="1">
        <v>61</v>
      </c>
      <c r="B27" s="1">
        <f t="shared" si="0"/>
        <v>1</v>
      </c>
      <c r="C27" s="1">
        <v>1</v>
      </c>
      <c r="E27" s="1">
        <v>139</v>
      </c>
      <c r="F27" s="1">
        <f t="shared" si="1"/>
        <v>1</v>
      </c>
      <c r="G27" s="1">
        <v>1</v>
      </c>
      <c r="I27" s="1">
        <v>117</v>
      </c>
      <c r="J27" s="1">
        <f t="shared" si="2"/>
        <v>1</v>
      </c>
      <c r="K27" s="1">
        <v>1</v>
      </c>
      <c r="M27" s="1">
        <v>38</v>
      </c>
      <c r="N27" s="1">
        <f t="shared" si="3"/>
        <v>1</v>
      </c>
      <c r="O27" s="1">
        <v>1</v>
      </c>
    </row>
    <row r="28" spans="1:15" x14ac:dyDescent="0.2">
      <c r="A28" s="1">
        <v>33</v>
      </c>
      <c r="B28" s="1">
        <f t="shared" si="0"/>
        <v>0</v>
      </c>
      <c r="C28" s="1">
        <v>1</v>
      </c>
      <c r="E28" s="1">
        <v>152</v>
      </c>
      <c r="F28" s="1">
        <f t="shared" si="1"/>
        <v>1</v>
      </c>
      <c r="G28" s="1">
        <v>1</v>
      </c>
      <c r="I28" s="1">
        <v>74</v>
      </c>
      <c r="J28" s="1">
        <f t="shared" si="2"/>
        <v>0</v>
      </c>
      <c r="K28" s="1">
        <v>1</v>
      </c>
      <c r="M28" s="1">
        <v>41</v>
      </c>
      <c r="N28" s="1">
        <f t="shared" si="3"/>
        <v>1</v>
      </c>
      <c r="O28" s="1">
        <v>1</v>
      </c>
    </row>
    <row r="29" spans="1:15" customFormat="1" hidden="1" x14ac:dyDescent="0.2">
      <c r="A29" s="1">
        <v>28</v>
      </c>
      <c r="B29" s="1">
        <f t="shared" si="0"/>
        <v>0</v>
      </c>
      <c r="C29" s="1">
        <v>0</v>
      </c>
      <c r="E29" s="1">
        <v>118</v>
      </c>
      <c r="F29" s="1">
        <f t="shared" si="1"/>
        <v>0</v>
      </c>
      <c r="G29" s="1">
        <v>0</v>
      </c>
      <c r="I29" s="1">
        <v>70</v>
      </c>
      <c r="J29" s="1">
        <f t="shared" si="2"/>
        <v>0</v>
      </c>
      <c r="K29" s="1">
        <v>0</v>
      </c>
      <c r="M29" s="1">
        <v>26</v>
      </c>
      <c r="N29" s="1">
        <f t="shared" si="3"/>
        <v>0</v>
      </c>
      <c r="O29" s="1">
        <v>0</v>
      </c>
    </row>
    <row r="30" spans="1:15" x14ac:dyDescent="0.2">
      <c r="A30" s="1">
        <v>62</v>
      </c>
      <c r="B30" s="1">
        <f t="shared" si="0"/>
        <v>1</v>
      </c>
      <c r="C30" s="1">
        <v>1</v>
      </c>
      <c r="E30" s="1">
        <v>126</v>
      </c>
      <c r="F30" s="1">
        <f t="shared" si="1"/>
        <v>0</v>
      </c>
      <c r="G30" s="1">
        <v>1</v>
      </c>
      <c r="I30" s="1">
        <v>120</v>
      </c>
      <c r="J30" s="1">
        <f t="shared" si="2"/>
        <v>1</v>
      </c>
      <c r="K30" s="1">
        <v>1</v>
      </c>
      <c r="M30" s="1">
        <v>37</v>
      </c>
      <c r="N30" s="1">
        <f t="shared" si="3"/>
        <v>1</v>
      </c>
      <c r="O30" s="1">
        <v>1</v>
      </c>
    </row>
    <row r="31" spans="1:15" customFormat="1" hidden="1" x14ac:dyDescent="0.2">
      <c r="A31" s="1">
        <v>33</v>
      </c>
      <c r="B31" s="1">
        <f t="shared" si="0"/>
        <v>0</v>
      </c>
      <c r="C31" s="1">
        <v>1</v>
      </c>
      <c r="E31" s="1">
        <v>104</v>
      </c>
      <c r="F31" s="1">
        <f t="shared" si="1"/>
        <v>0</v>
      </c>
      <c r="G31" s="1">
        <v>1</v>
      </c>
      <c r="I31" s="1">
        <v>71</v>
      </c>
      <c r="J31" s="1">
        <f t="shared" si="2"/>
        <v>0</v>
      </c>
      <c r="K31" s="1">
        <v>1</v>
      </c>
      <c r="M31" s="1">
        <v>22</v>
      </c>
      <c r="N31" s="1">
        <f t="shared" si="3"/>
        <v>0</v>
      </c>
      <c r="O31" s="1">
        <v>1</v>
      </c>
    </row>
    <row r="32" spans="1:15" customFormat="1" hidden="1" x14ac:dyDescent="0.2">
      <c r="A32" s="1">
        <v>32</v>
      </c>
      <c r="B32" s="1">
        <f t="shared" si="0"/>
        <v>0</v>
      </c>
      <c r="C32" s="1">
        <v>0</v>
      </c>
      <c r="E32" s="1">
        <v>124</v>
      </c>
      <c r="F32" s="1">
        <f t="shared" si="1"/>
        <v>0</v>
      </c>
      <c r="G32" s="1">
        <v>0</v>
      </c>
      <c r="I32" s="1">
        <v>91</v>
      </c>
      <c r="J32" s="1">
        <f t="shared" si="2"/>
        <v>0</v>
      </c>
      <c r="K32" s="1">
        <v>0</v>
      </c>
      <c r="M32" s="1">
        <v>16</v>
      </c>
      <c r="N32" s="1">
        <f t="shared" si="3"/>
        <v>0</v>
      </c>
      <c r="O32" s="1">
        <v>0</v>
      </c>
    </row>
    <row r="33" spans="1:15" customFormat="1" hidden="1" x14ac:dyDescent="0.2">
      <c r="A33" s="1">
        <v>38</v>
      </c>
      <c r="B33" s="1">
        <f t="shared" si="0"/>
        <v>0</v>
      </c>
      <c r="C33" s="1">
        <v>0</v>
      </c>
      <c r="E33" s="1">
        <v>141</v>
      </c>
      <c r="F33" s="1">
        <f t="shared" si="1"/>
        <v>1</v>
      </c>
      <c r="G33" s="1">
        <v>0</v>
      </c>
      <c r="I33" s="1">
        <v>86</v>
      </c>
      <c r="J33" s="1">
        <f t="shared" si="2"/>
        <v>0</v>
      </c>
      <c r="K33" s="1">
        <v>0</v>
      </c>
      <c r="M33" s="1">
        <v>22</v>
      </c>
      <c r="N33" s="1">
        <f t="shared" si="3"/>
        <v>0</v>
      </c>
      <c r="O33" s="1">
        <v>0</v>
      </c>
    </row>
    <row r="34" spans="1:15" customFormat="1" hidden="1" x14ac:dyDescent="0.2">
      <c r="A34" s="1">
        <v>68</v>
      </c>
      <c r="B34" s="1">
        <f t="shared" si="0"/>
        <v>1</v>
      </c>
      <c r="C34" s="1">
        <v>1</v>
      </c>
      <c r="E34" s="1">
        <v>126</v>
      </c>
      <c r="F34" s="1">
        <f t="shared" si="1"/>
        <v>0</v>
      </c>
      <c r="G34" s="1">
        <v>1</v>
      </c>
      <c r="I34" s="1">
        <v>65</v>
      </c>
      <c r="J34" s="1">
        <f t="shared" si="2"/>
        <v>0</v>
      </c>
      <c r="K34" s="1">
        <v>1</v>
      </c>
      <c r="M34" s="1">
        <v>19</v>
      </c>
      <c r="N34" s="1">
        <f t="shared" si="3"/>
        <v>0</v>
      </c>
      <c r="O34" s="1">
        <v>1</v>
      </c>
    </row>
    <row r="35" spans="1:15" x14ac:dyDescent="0.2">
      <c r="A35" s="1">
        <v>25</v>
      </c>
      <c r="B35" s="1">
        <f t="shared" si="0"/>
        <v>0</v>
      </c>
      <c r="C35" s="1">
        <v>0</v>
      </c>
      <c r="E35" s="1">
        <v>148</v>
      </c>
      <c r="F35" s="1">
        <f t="shared" si="1"/>
        <v>1</v>
      </c>
      <c r="G35" s="1">
        <v>0</v>
      </c>
      <c r="I35" s="1">
        <v>70</v>
      </c>
      <c r="J35" s="1">
        <f t="shared" si="2"/>
        <v>0</v>
      </c>
      <c r="K35" s="1">
        <v>0</v>
      </c>
      <c r="M35" s="1">
        <v>34</v>
      </c>
      <c r="N35" s="1">
        <f t="shared" si="3"/>
        <v>1</v>
      </c>
      <c r="O35" s="1">
        <v>0</v>
      </c>
    </row>
    <row r="36" spans="1:15" customFormat="1" hidden="1" x14ac:dyDescent="0.2">
      <c r="A36" s="1">
        <v>45</v>
      </c>
      <c r="B36" s="1">
        <f t="shared" si="0"/>
        <v>0</v>
      </c>
      <c r="C36" s="1">
        <v>0</v>
      </c>
      <c r="E36" s="1">
        <v>150</v>
      </c>
      <c r="F36" s="1">
        <f t="shared" si="1"/>
        <v>1</v>
      </c>
      <c r="G36" s="1">
        <v>0</v>
      </c>
      <c r="I36" s="1">
        <v>111</v>
      </c>
      <c r="J36" s="1">
        <f t="shared" si="2"/>
        <v>1</v>
      </c>
      <c r="K36" s="1">
        <v>0</v>
      </c>
      <c r="M36" s="1">
        <v>22</v>
      </c>
      <c r="N36" s="1">
        <f t="shared" si="3"/>
        <v>0</v>
      </c>
      <c r="O36" s="1">
        <v>0</v>
      </c>
    </row>
    <row r="37" spans="1:15" customFormat="1" hidden="1" x14ac:dyDescent="0.2">
      <c r="A37" s="1">
        <v>42</v>
      </c>
      <c r="B37" s="1">
        <f t="shared" si="0"/>
        <v>0</v>
      </c>
      <c r="C37" s="1">
        <v>1</v>
      </c>
      <c r="E37" s="1">
        <v>127</v>
      </c>
      <c r="F37" s="1">
        <f t="shared" si="1"/>
        <v>1</v>
      </c>
      <c r="G37" s="1">
        <v>1</v>
      </c>
      <c r="I37" s="1">
        <v>94</v>
      </c>
      <c r="J37" s="1">
        <f t="shared" si="2"/>
        <v>1</v>
      </c>
      <c r="K37" s="1">
        <v>1</v>
      </c>
      <c r="M37" s="1">
        <v>28</v>
      </c>
      <c r="N37" s="1">
        <f t="shared" si="3"/>
        <v>0</v>
      </c>
      <c r="O37" s="1">
        <v>1</v>
      </c>
    </row>
    <row r="38" spans="1:15" customFormat="1" hidden="1" x14ac:dyDescent="0.2">
      <c r="A38" s="1">
        <v>26</v>
      </c>
      <c r="B38" s="1">
        <f t="shared" si="0"/>
        <v>0</v>
      </c>
      <c r="C38" s="1">
        <v>1</v>
      </c>
      <c r="E38" s="1">
        <v>114</v>
      </c>
      <c r="F38" s="1">
        <f t="shared" si="1"/>
        <v>0</v>
      </c>
      <c r="G38" s="1">
        <v>1</v>
      </c>
      <c r="I38" s="1">
        <v>84</v>
      </c>
      <c r="J38" s="1">
        <f t="shared" si="2"/>
        <v>0</v>
      </c>
      <c r="K38" s="1">
        <v>1</v>
      </c>
      <c r="M38" s="1">
        <v>28</v>
      </c>
      <c r="N38" s="1">
        <f t="shared" si="3"/>
        <v>0</v>
      </c>
      <c r="O38" s="1">
        <v>1</v>
      </c>
    </row>
    <row r="39" spans="1:15" x14ac:dyDescent="0.2">
      <c r="A39" s="1">
        <v>37</v>
      </c>
      <c r="B39" s="1">
        <f t="shared" si="0"/>
        <v>0</v>
      </c>
      <c r="C39" s="1">
        <v>0</v>
      </c>
      <c r="E39" s="1">
        <v>133</v>
      </c>
      <c r="F39" s="1">
        <f t="shared" si="1"/>
        <v>1</v>
      </c>
      <c r="G39" s="1">
        <v>0</v>
      </c>
      <c r="I39" s="1">
        <v>66</v>
      </c>
      <c r="J39" s="1">
        <f t="shared" si="2"/>
        <v>0</v>
      </c>
      <c r="K39" s="1">
        <v>0</v>
      </c>
      <c r="M39" s="1">
        <v>33</v>
      </c>
      <c r="N39" s="1">
        <f t="shared" si="3"/>
        <v>1</v>
      </c>
      <c r="O39" s="1">
        <v>0</v>
      </c>
    </row>
    <row r="40" spans="1:15" customFormat="1" hidden="1" x14ac:dyDescent="0.2">
      <c r="A40" s="1">
        <v>29</v>
      </c>
      <c r="B40" s="1">
        <f t="shared" si="0"/>
        <v>0</v>
      </c>
      <c r="C40" s="1">
        <v>0</v>
      </c>
      <c r="E40" s="1">
        <v>136</v>
      </c>
      <c r="F40" s="1">
        <f t="shared" si="1"/>
        <v>1</v>
      </c>
      <c r="G40" s="1">
        <v>0</v>
      </c>
      <c r="I40" s="1">
        <v>71</v>
      </c>
      <c r="J40" s="1">
        <f t="shared" si="2"/>
        <v>0</v>
      </c>
      <c r="K40" s="1">
        <v>0</v>
      </c>
      <c r="M40" s="1">
        <v>19</v>
      </c>
      <c r="N40" s="1">
        <f t="shared" si="3"/>
        <v>0</v>
      </c>
      <c r="O40" s="1">
        <v>0</v>
      </c>
    </row>
    <row r="41" spans="1:15" customFormat="1" hidden="1" x14ac:dyDescent="0.2">
      <c r="A41" s="1">
        <v>54</v>
      </c>
      <c r="B41" s="1">
        <f t="shared" si="0"/>
        <v>1</v>
      </c>
      <c r="C41" s="1">
        <v>0</v>
      </c>
      <c r="E41" s="1">
        <v>140</v>
      </c>
      <c r="F41" s="1">
        <f t="shared" si="1"/>
        <v>1</v>
      </c>
      <c r="G41" s="1">
        <v>0</v>
      </c>
      <c r="I41" s="1">
        <v>104</v>
      </c>
      <c r="J41" s="1">
        <f t="shared" si="2"/>
        <v>1</v>
      </c>
      <c r="K41" s="1">
        <v>0</v>
      </c>
      <c r="M41" s="1">
        <v>26</v>
      </c>
      <c r="N41" s="1">
        <f t="shared" si="3"/>
        <v>0</v>
      </c>
      <c r="O41" s="1">
        <v>0</v>
      </c>
    </row>
    <row r="42" spans="1:15" x14ac:dyDescent="0.2">
      <c r="A42" s="1">
        <v>41</v>
      </c>
      <c r="B42" s="1">
        <f t="shared" si="0"/>
        <v>0</v>
      </c>
      <c r="C42" s="1">
        <v>0</v>
      </c>
      <c r="E42" s="1">
        <v>142</v>
      </c>
      <c r="F42" s="1">
        <f t="shared" si="1"/>
        <v>1</v>
      </c>
      <c r="G42" s="1">
        <v>0</v>
      </c>
      <c r="I42" s="1">
        <v>94</v>
      </c>
      <c r="J42" s="1">
        <f t="shared" si="2"/>
        <v>1</v>
      </c>
      <c r="K42" s="1">
        <v>0</v>
      </c>
      <c r="M42" s="1">
        <v>30</v>
      </c>
      <c r="N42" s="1">
        <f t="shared" si="3"/>
        <v>1</v>
      </c>
      <c r="O42" s="1">
        <v>0</v>
      </c>
    </row>
    <row r="43" spans="1:15" x14ac:dyDescent="0.2">
      <c r="A43" s="1">
        <v>43</v>
      </c>
      <c r="B43" s="1">
        <f t="shared" si="0"/>
        <v>0</v>
      </c>
      <c r="C43" s="1">
        <v>1</v>
      </c>
      <c r="E43" s="1">
        <v>149</v>
      </c>
      <c r="F43" s="1">
        <f t="shared" si="1"/>
        <v>1</v>
      </c>
      <c r="G43" s="1">
        <v>1</v>
      </c>
      <c r="I43" s="1">
        <v>83</v>
      </c>
      <c r="J43" s="1">
        <f t="shared" si="2"/>
        <v>0</v>
      </c>
      <c r="K43" s="1">
        <v>1</v>
      </c>
      <c r="M43" s="1">
        <v>36</v>
      </c>
      <c r="N43" s="1">
        <f t="shared" si="3"/>
        <v>1</v>
      </c>
      <c r="O43" s="1">
        <v>1</v>
      </c>
    </row>
    <row r="44" spans="1:15" customFormat="1" hidden="1" x14ac:dyDescent="0.2">
      <c r="A44" s="1">
        <v>56</v>
      </c>
      <c r="B44" s="1">
        <f t="shared" si="0"/>
        <v>1</v>
      </c>
      <c r="C44" s="1">
        <v>0</v>
      </c>
      <c r="E44" s="1">
        <v>140</v>
      </c>
      <c r="F44" s="1">
        <f t="shared" si="1"/>
        <v>1</v>
      </c>
      <c r="G44" s="1">
        <v>0</v>
      </c>
      <c r="I44" s="1">
        <v>82</v>
      </c>
      <c r="J44" s="1">
        <f t="shared" si="2"/>
        <v>0</v>
      </c>
      <c r="K44" s="1">
        <v>0</v>
      </c>
      <c r="M44" s="1">
        <v>18</v>
      </c>
      <c r="N44" s="1">
        <f t="shared" si="3"/>
        <v>0</v>
      </c>
      <c r="O44" s="1">
        <v>0</v>
      </c>
    </row>
    <row r="45" spans="1:15" customFormat="1" hidden="1" x14ac:dyDescent="0.2">
      <c r="A45" s="1">
        <v>56</v>
      </c>
      <c r="B45" s="1">
        <f t="shared" si="0"/>
        <v>1</v>
      </c>
      <c r="C45" s="1">
        <v>1</v>
      </c>
      <c r="E45" s="1">
        <v>115</v>
      </c>
      <c r="F45" s="1">
        <f t="shared" si="1"/>
        <v>0</v>
      </c>
      <c r="G45" s="1">
        <v>1</v>
      </c>
      <c r="I45" s="1">
        <v>65</v>
      </c>
      <c r="J45" s="1">
        <f t="shared" si="2"/>
        <v>0</v>
      </c>
      <c r="K45" s="1">
        <v>1</v>
      </c>
      <c r="M45" s="1">
        <v>21</v>
      </c>
      <c r="N45" s="1">
        <f t="shared" si="3"/>
        <v>0</v>
      </c>
      <c r="O45" s="1">
        <v>1</v>
      </c>
    </row>
    <row r="46" spans="1:15" x14ac:dyDescent="0.2">
      <c r="A46" s="1">
        <v>60</v>
      </c>
      <c r="B46" s="1">
        <f t="shared" si="0"/>
        <v>1</v>
      </c>
      <c r="C46" s="1">
        <v>1</v>
      </c>
      <c r="E46" s="1">
        <v>155</v>
      </c>
      <c r="F46" s="1">
        <f t="shared" si="1"/>
        <v>1</v>
      </c>
      <c r="G46" s="1">
        <v>1</v>
      </c>
      <c r="I46" s="1">
        <v>69</v>
      </c>
      <c r="J46" s="1">
        <f t="shared" si="2"/>
        <v>0</v>
      </c>
      <c r="K46" s="1">
        <v>1</v>
      </c>
      <c r="M46" s="1">
        <v>37</v>
      </c>
      <c r="N46" s="1">
        <f t="shared" si="3"/>
        <v>1</v>
      </c>
      <c r="O46" s="1">
        <v>1</v>
      </c>
    </row>
    <row r="47" spans="1:15" x14ac:dyDescent="0.2">
      <c r="A47" s="1">
        <v>47</v>
      </c>
      <c r="B47" s="1">
        <f t="shared" si="0"/>
        <v>1</v>
      </c>
      <c r="C47" s="1">
        <v>1</v>
      </c>
      <c r="E47" s="1">
        <v>115</v>
      </c>
      <c r="F47" s="1">
        <f t="shared" si="1"/>
        <v>0</v>
      </c>
      <c r="G47" s="1">
        <v>1</v>
      </c>
      <c r="I47" s="1">
        <v>104</v>
      </c>
      <c r="J47" s="1">
        <f t="shared" si="2"/>
        <v>1</v>
      </c>
      <c r="K47" s="1">
        <v>1</v>
      </c>
      <c r="M47" s="1">
        <v>40</v>
      </c>
      <c r="N47" s="1">
        <f t="shared" si="3"/>
        <v>1</v>
      </c>
      <c r="O47" s="1">
        <v>1</v>
      </c>
    </row>
    <row r="48" spans="1:15" customFormat="1" hidden="1" x14ac:dyDescent="0.2">
      <c r="A48" s="1">
        <v>50</v>
      </c>
      <c r="B48" s="1">
        <f t="shared" si="0"/>
        <v>1</v>
      </c>
      <c r="C48" s="1">
        <v>0</v>
      </c>
      <c r="E48" s="1">
        <v>114</v>
      </c>
      <c r="F48" s="1">
        <f t="shared" si="1"/>
        <v>0</v>
      </c>
      <c r="G48" s="1">
        <v>0</v>
      </c>
      <c r="I48" s="1">
        <v>68</v>
      </c>
      <c r="J48" s="1">
        <f t="shared" si="2"/>
        <v>0</v>
      </c>
      <c r="K48" s="1">
        <v>0</v>
      </c>
      <c r="M48" s="1">
        <v>18</v>
      </c>
      <c r="N48" s="1">
        <f t="shared" si="3"/>
        <v>0</v>
      </c>
      <c r="O48" s="1">
        <v>0</v>
      </c>
    </row>
    <row r="49" spans="1:15" x14ac:dyDescent="0.2">
      <c r="A49" s="1">
        <v>28</v>
      </c>
      <c r="B49" s="1">
        <f t="shared" si="0"/>
        <v>0</v>
      </c>
      <c r="C49" s="1">
        <v>0</v>
      </c>
      <c r="E49" s="1">
        <v>140</v>
      </c>
      <c r="F49" s="1">
        <f t="shared" si="1"/>
        <v>1</v>
      </c>
      <c r="G49" s="1">
        <v>0</v>
      </c>
      <c r="I49" s="1">
        <v>80</v>
      </c>
      <c r="J49" s="1">
        <f t="shared" si="2"/>
        <v>0</v>
      </c>
      <c r="K49" s="1">
        <v>0</v>
      </c>
      <c r="M49" s="1">
        <v>31</v>
      </c>
      <c r="N49" s="1">
        <f t="shared" si="3"/>
        <v>1</v>
      </c>
      <c r="O49" s="1">
        <v>0</v>
      </c>
    </row>
    <row r="50" spans="1:15" x14ac:dyDescent="0.2">
      <c r="A50" s="1">
        <v>60</v>
      </c>
      <c r="B50" s="1">
        <f t="shared" si="0"/>
        <v>1</v>
      </c>
      <c r="C50" s="1">
        <v>1</v>
      </c>
      <c r="E50" s="1">
        <v>127</v>
      </c>
      <c r="F50" s="1">
        <f t="shared" si="1"/>
        <v>1</v>
      </c>
      <c r="G50" s="1">
        <v>1</v>
      </c>
      <c r="I50" s="1">
        <v>103</v>
      </c>
      <c r="J50" s="1">
        <f t="shared" si="2"/>
        <v>1</v>
      </c>
      <c r="K50" s="1">
        <v>1</v>
      </c>
      <c r="M50" s="1">
        <v>31</v>
      </c>
      <c r="N50" s="1">
        <f t="shared" si="3"/>
        <v>1</v>
      </c>
      <c r="O50" s="1">
        <v>1</v>
      </c>
    </row>
    <row r="51" spans="1:15" customFormat="1" hidden="1" x14ac:dyDescent="0.2">
      <c r="A51" s="1">
        <v>69</v>
      </c>
      <c r="B51" s="1">
        <f t="shared" si="0"/>
        <v>1</v>
      </c>
      <c r="C51" s="1">
        <v>1</v>
      </c>
      <c r="E51" s="1">
        <v>136</v>
      </c>
      <c r="F51" s="1">
        <f t="shared" si="1"/>
        <v>1</v>
      </c>
      <c r="G51" s="1">
        <v>1</v>
      </c>
      <c r="I51" s="1">
        <v>75</v>
      </c>
      <c r="J51" s="1">
        <f t="shared" si="2"/>
        <v>0</v>
      </c>
      <c r="K51" s="1">
        <v>1</v>
      </c>
      <c r="M51" s="1">
        <v>22</v>
      </c>
      <c r="N51" s="1">
        <f t="shared" si="3"/>
        <v>0</v>
      </c>
      <c r="O51" s="1">
        <v>1</v>
      </c>
    </row>
    <row r="52" spans="1:15" customFormat="1" hidden="1" x14ac:dyDescent="0.2">
      <c r="A52" s="1">
        <v>60</v>
      </c>
      <c r="B52" s="1">
        <f t="shared" si="0"/>
        <v>1</v>
      </c>
      <c r="C52" s="1">
        <v>1</v>
      </c>
      <c r="E52" s="1">
        <v>119</v>
      </c>
      <c r="F52" s="1">
        <f t="shared" si="1"/>
        <v>0</v>
      </c>
      <c r="G52" s="1">
        <v>1</v>
      </c>
      <c r="I52" s="1">
        <v>88</v>
      </c>
      <c r="J52" s="1">
        <f t="shared" si="2"/>
        <v>0</v>
      </c>
      <c r="K52" s="1">
        <v>1</v>
      </c>
      <c r="M52" s="1">
        <v>20</v>
      </c>
      <c r="N52" s="1">
        <f t="shared" si="3"/>
        <v>0</v>
      </c>
      <c r="O52" s="1">
        <v>1</v>
      </c>
    </row>
    <row r="53" spans="1:15" customFormat="1" hidden="1" x14ac:dyDescent="0.2">
      <c r="A53" s="1">
        <v>23</v>
      </c>
      <c r="B53" s="1">
        <f t="shared" si="0"/>
        <v>0</v>
      </c>
      <c r="C53" s="1">
        <v>0</v>
      </c>
      <c r="E53" s="1">
        <v>127</v>
      </c>
      <c r="F53" s="1">
        <f t="shared" si="1"/>
        <v>1</v>
      </c>
      <c r="G53" s="1">
        <v>0</v>
      </c>
      <c r="I53" s="1">
        <v>70</v>
      </c>
      <c r="J53" s="1">
        <f t="shared" si="2"/>
        <v>0</v>
      </c>
      <c r="K53" s="1">
        <v>0</v>
      </c>
      <c r="M53" s="1">
        <v>19</v>
      </c>
      <c r="N53" s="1">
        <f t="shared" si="3"/>
        <v>0</v>
      </c>
      <c r="O53" s="1">
        <v>0</v>
      </c>
    </row>
    <row r="54" spans="1:15" customFormat="1" hidden="1" x14ac:dyDescent="0.2">
      <c r="A54" s="1">
        <v>34</v>
      </c>
      <c r="B54" s="1">
        <f t="shared" si="0"/>
        <v>0</v>
      </c>
      <c r="C54" s="1">
        <v>0</v>
      </c>
      <c r="E54" s="1">
        <v>144</v>
      </c>
      <c r="F54" s="1">
        <f t="shared" si="1"/>
        <v>1</v>
      </c>
      <c r="G54" s="1">
        <v>0</v>
      </c>
      <c r="I54" s="1">
        <v>119</v>
      </c>
      <c r="J54" s="1">
        <f t="shared" si="2"/>
        <v>1</v>
      </c>
      <c r="K54" s="1">
        <v>0</v>
      </c>
      <c r="M54" s="1">
        <v>28</v>
      </c>
      <c r="N54" s="1">
        <f t="shared" si="3"/>
        <v>0</v>
      </c>
      <c r="O54" s="1">
        <v>0</v>
      </c>
    </row>
    <row r="55" spans="1:15" customFormat="1" hidden="1" x14ac:dyDescent="0.2">
      <c r="A55" s="1">
        <v>24</v>
      </c>
      <c r="B55" s="1">
        <f t="shared" si="0"/>
        <v>0</v>
      </c>
      <c r="C55" s="1">
        <v>1</v>
      </c>
      <c r="E55" s="1">
        <v>115</v>
      </c>
      <c r="F55" s="1">
        <f t="shared" si="1"/>
        <v>0</v>
      </c>
      <c r="G55" s="1">
        <v>1</v>
      </c>
      <c r="I55" s="1">
        <v>109</v>
      </c>
      <c r="J55" s="1">
        <f t="shared" si="2"/>
        <v>1</v>
      </c>
      <c r="K55" s="1">
        <v>1</v>
      </c>
      <c r="M55" s="1">
        <v>24</v>
      </c>
      <c r="N55" s="1">
        <f t="shared" si="3"/>
        <v>0</v>
      </c>
      <c r="O55" s="1">
        <v>1</v>
      </c>
    </row>
    <row r="56" spans="1:15" x14ac:dyDescent="0.2">
      <c r="A56" s="1">
        <v>44</v>
      </c>
      <c r="B56" s="1">
        <f t="shared" si="0"/>
        <v>0</v>
      </c>
      <c r="C56" s="1">
        <v>1</v>
      </c>
      <c r="E56" s="1">
        <v>102</v>
      </c>
      <c r="F56" s="1">
        <f t="shared" si="1"/>
        <v>0</v>
      </c>
      <c r="G56" s="1">
        <v>1</v>
      </c>
      <c r="I56" s="1">
        <v>103</v>
      </c>
      <c r="J56" s="1">
        <f t="shared" si="2"/>
        <v>1</v>
      </c>
      <c r="K56" s="1">
        <v>1</v>
      </c>
      <c r="M56" s="1">
        <v>33</v>
      </c>
      <c r="N56" s="1">
        <f t="shared" si="3"/>
        <v>1</v>
      </c>
      <c r="O56" s="1">
        <v>1</v>
      </c>
    </row>
    <row r="57" spans="1:15" customFormat="1" hidden="1" x14ac:dyDescent="0.2">
      <c r="A57" s="1">
        <v>28</v>
      </c>
      <c r="B57" s="1">
        <f t="shared" si="0"/>
        <v>0</v>
      </c>
      <c r="C57" s="1">
        <v>0</v>
      </c>
      <c r="E57" s="1">
        <v>133</v>
      </c>
      <c r="F57" s="1">
        <f t="shared" si="1"/>
        <v>1</v>
      </c>
      <c r="G57" s="1">
        <v>0</v>
      </c>
      <c r="I57" s="1">
        <v>77</v>
      </c>
      <c r="J57" s="1">
        <f t="shared" si="2"/>
        <v>0</v>
      </c>
      <c r="K57" s="1">
        <v>0</v>
      </c>
      <c r="M57" s="1">
        <v>22</v>
      </c>
      <c r="N57" s="1">
        <f t="shared" si="3"/>
        <v>0</v>
      </c>
      <c r="O57" s="1">
        <v>0</v>
      </c>
    </row>
    <row r="58" spans="1:15" customFormat="1" hidden="1" x14ac:dyDescent="0.2">
      <c r="A58" s="1">
        <v>59</v>
      </c>
      <c r="B58" s="1">
        <f t="shared" si="0"/>
        <v>1</v>
      </c>
      <c r="C58" s="1">
        <v>1</v>
      </c>
      <c r="E58" s="1">
        <v>125</v>
      </c>
      <c r="F58" s="1">
        <f t="shared" si="1"/>
        <v>0</v>
      </c>
      <c r="G58" s="1">
        <v>1</v>
      </c>
      <c r="I58" s="1">
        <v>82</v>
      </c>
      <c r="J58" s="1">
        <f t="shared" si="2"/>
        <v>0</v>
      </c>
      <c r="K58" s="1">
        <v>1</v>
      </c>
      <c r="M58" s="1">
        <v>21</v>
      </c>
      <c r="N58" s="1">
        <f t="shared" si="3"/>
        <v>0</v>
      </c>
      <c r="O58" s="1">
        <v>1</v>
      </c>
    </row>
    <row r="59" spans="1:15" x14ac:dyDescent="0.2">
      <c r="A59" s="1">
        <v>30</v>
      </c>
      <c r="B59" s="1">
        <f t="shared" si="0"/>
        <v>0</v>
      </c>
      <c r="C59" s="1">
        <v>1</v>
      </c>
      <c r="E59" s="1">
        <v>122</v>
      </c>
      <c r="F59" s="1">
        <f t="shared" si="1"/>
        <v>0</v>
      </c>
      <c r="G59" s="1">
        <v>1</v>
      </c>
      <c r="I59" s="1">
        <v>84</v>
      </c>
      <c r="J59" s="1">
        <f t="shared" si="2"/>
        <v>0</v>
      </c>
      <c r="K59" s="1">
        <v>1</v>
      </c>
      <c r="M59" s="1">
        <v>39</v>
      </c>
      <c r="N59" s="1">
        <f t="shared" si="3"/>
        <v>1</v>
      </c>
      <c r="O59" s="1">
        <v>1</v>
      </c>
    </row>
    <row r="60" spans="1:15" customFormat="1" hidden="1" x14ac:dyDescent="0.2">
      <c r="A60" s="1">
        <v>26</v>
      </c>
      <c r="B60" s="1">
        <f t="shared" si="0"/>
        <v>0</v>
      </c>
      <c r="C60" s="1">
        <v>0</v>
      </c>
      <c r="E60" s="1">
        <v>116</v>
      </c>
      <c r="F60" s="1">
        <f t="shared" si="1"/>
        <v>0</v>
      </c>
      <c r="G60" s="1">
        <v>0</v>
      </c>
      <c r="I60" s="1">
        <v>83</v>
      </c>
      <c r="J60" s="1">
        <f t="shared" si="2"/>
        <v>0</v>
      </c>
      <c r="K60" s="1">
        <v>0</v>
      </c>
      <c r="M60" s="1">
        <v>24</v>
      </c>
      <c r="N60" s="1">
        <f t="shared" si="3"/>
        <v>0</v>
      </c>
      <c r="O60" s="1">
        <v>0</v>
      </c>
    </row>
    <row r="61" spans="1:15" customFormat="1" hidden="1" x14ac:dyDescent="0.2">
      <c r="A61" s="1">
        <v>49</v>
      </c>
      <c r="B61" s="1">
        <f t="shared" si="0"/>
        <v>1</v>
      </c>
      <c r="C61" s="1">
        <v>0</v>
      </c>
      <c r="E61" s="1">
        <v>136</v>
      </c>
      <c r="F61" s="1">
        <f t="shared" si="1"/>
        <v>1</v>
      </c>
      <c r="G61" s="1">
        <v>0</v>
      </c>
      <c r="I61" s="1">
        <v>75</v>
      </c>
      <c r="J61" s="1">
        <f t="shared" si="2"/>
        <v>0</v>
      </c>
      <c r="K61" s="1">
        <v>0</v>
      </c>
      <c r="M61" s="1">
        <v>19</v>
      </c>
      <c r="N61" s="1">
        <f t="shared" si="3"/>
        <v>0</v>
      </c>
      <c r="O61" s="1">
        <v>0</v>
      </c>
    </row>
    <row r="62" spans="1:15" customFormat="1" hidden="1" x14ac:dyDescent="0.2">
      <c r="A62" s="1">
        <v>30</v>
      </c>
      <c r="B62" s="1">
        <f t="shared" si="0"/>
        <v>0</v>
      </c>
      <c r="C62" s="1">
        <v>0</v>
      </c>
      <c r="E62" s="1">
        <v>144</v>
      </c>
      <c r="F62" s="1">
        <f t="shared" si="1"/>
        <v>1</v>
      </c>
      <c r="G62" s="1">
        <v>0</v>
      </c>
      <c r="I62" s="1">
        <v>127</v>
      </c>
      <c r="J62" s="1">
        <f t="shared" si="2"/>
        <v>1</v>
      </c>
      <c r="K62" s="1">
        <v>0</v>
      </c>
      <c r="M62" s="1">
        <v>17</v>
      </c>
      <c r="N62" s="1">
        <f t="shared" si="3"/>
        <v>0</v>
      </c>
      <c r="O62" s="1">
        <v>0</v>
      </c>
    </row>
    <row r="63" spans="1:15" customFormat="1" hidden="1" x14ac:dyDescent="0.2">
      <c r="A63" s="1">
        <v>46</v>
      </c>
      <c r="B63" s="1">
        <f t="shared" si="0"/>
        <v>1</v>
      </c>
      <c r="C63" s="1">
        <v>1</v>
      </c>
      <c r="E63" s="1">
        <v>106</v>
      </c>
      <c r="F63" s="1">
        <f t="shared" si="1"/>
        <v>0</v>
      </c>
      <c r="G63" s="1">
        <v>1</v>
      </c>
      <c r="I63" s="1">
        <v>69</v>
      </c>
      <c r="J63" s="1">
        <f t="shared" si="2"/>
        <v>0</v>
      </c>
      <c r="K63" s="1">
        <v>1</v>
      </c>
      <c r="M63" s="1">
        <v>27</v>
      </c>
      <c r="N63" s="1">
        <f t="shared" si="3"/>
        <v>0</v>
      </c>
      <c r="O63" s="1">
        <v>1</v>
      </c>
    </row>
    <row r="64" spans="1:15" customFormat="1" hidden="1" x14ac:dyDescent="0.2">
      <c r="A64" s="1">
        <v>41</v>
      </c>
      <c r="B64" s="1">
        <f t="shared" si="0"/>
        <v>0</v>
      </c>
      <c r="C64" s="1">
        <v>1</v>
      </c>
      <c r="E64" s="1">
        <v>152</v>
      </c>
      <c r="F64" s="1">
        <f t="shared" si="1"/>
        <v>1</v>
      </c>
      <c r="G64" s="1">
        <v>1</v>
      </c>
      <c r="I64" s="1">
        <v>68</v>
      </c>
      <c r="J64" s="1">
        <f t="shared" si="2"/>
        <v>0</v>
      </c>
      <c r="K64" s="1">
        <v>1</v>
      </c>
      <c r="M64" s="1">
        <v>19</v>
      </c>
      <c r="N64" s="1">
        <f t="shared" si="3"/>
        <v>0</v>
      </c>
      <c r="O64" s="1">
        <v>1</v>
      </c>
    </row>
    <row r="65" spans="1:15" customFormat="1" hidden="1" x14ac:dyDescent="0.2">
      <c r="A65" s="1">
        <v>53</v>
      </c>
      <c r="B65" s="1">
        <f t="shared" si="0"/>
        <v>1</v>
      </c>
      <c r="C65" s="1">
        <v>1</v>
      </c>
      <c r="E65" s="1">
        <v>121</v>
      </c>
      <c r="F65" s="1">
        <f t="shared" si="1"/>
        <v>0</v>
      </c>
      <c r="G65" s="1">
        <v>1</v>
      </c>
      <c r="I65" s="1">
        <v>93</v>
      </c>
      <c r="J65" s="1">
        <f t="shared" si="2"/>
        <v>1</v>
      </c>
      <c r="K65" s="1">
        <v>1</v>
      </c>
      <c r="M65" s="1">
        <v>27</v>
      </c>
      <c r="N65" s="1">
        <f t="shared" si="3"/>
        <v>0</v>
      </c>
      <c r="O65" s="1">
        <v>1</v>
      </c>
    </row>
    <row r="66" spans="1:15" x14ac:dyDescent="0.2">
      <c r="A66" s="1">
        <v>31</v>
      </c>
      <c r="B66" s="1">
        <f t="shared" si="0"/>
        <v>0</v>
      </c>
      <c r="C66" s="1">
        <v>1</v>
      </c>
      <c r="E66" s="1">
        <v>112</v>
      </c>
      <c r="F66" s="1">
        <f t="shared" si="1"/>
        <v>0</v>
      </c>
      <c r="G66" s="1">
        <v>1</v>
      </c>
      <c r="I66" s="1">
        <v>83</v>
      </c>
      <c r="J66" s="1">
        <f t="shared" si="2"/>
        <v>0</v>
      </c>
      <c r="K66" s="1">
        <v>1</v>
      </c>
      <c r="M66" s="1">
        <v>35</v>
      </c>
      <c r="N66" s="1">
        <f t="shared" si="3"/>
        <v>1</v>
      </c>
      <c r="O66" s="1">
        <v>1</v>
      </c>
    </row>
    <row r="67" spans="1:15" customFormat="1" hidden="1" x14ac:dyDescent="0.2">
      <c r="A67" s="1">
        <v>54</v>
      </c>
      <c r="B67" s="1">
        <f t="shared" si="0"/>
        <v>1</v>
      </c>
      <c r="C67" s="1">
        <v>1</v>
      </c>
      <c r="E67" s="1">
        <v>140</v>
      </c>
      <c r="F67" s="1">
        <f t="shared" si="1"/>
        <v>1</v>
      </c>
      <c r="G67" s="1">
        <v>1</v>
      </c>
      <c r="I67" s="1">
        <v>105</v>
      </c>
      <c r="J67" s="1">
        <f t="shared" si="2"/>
        <v>1</v>
      </c>
      <c r="K67" s="1">
        <v>1</v>
      </c>
      <c r="M67" s="1">
        <v>23</v>
      </c>
      <c r="N67" s="1">
        <f t="shared" si="3"/>
        <v>0</v>
      </c>
      <c r="O67" s="1">
        <v>1</v>
      </c>
    </row>
    <row r="68" spans="1:15" x14ac:dyDescent="0.2">
      <c r="A68" s="1">
        <v>56</v>
      </c>
      <c r="B68" s="1">
        <f t="shared" si="0"/>
        <v>1</v>
      </c>
      <c r="C68" s="1">
        <v>1</v>
      </c>
      <c r="E68" s="1">
        <v>103</v>
      </c>
      <c r="F68" s="1">
        <f t="shared" si="1"/>
        <v>0</v>
      </c>
      <c r="G68" s="1">
        <v>1</v>
      </c>
      <c r="I68" s="1">
        <v>75</v>
      </c>
      <c r="J68" s="1">
        <f t="shared" si="2"/>
        <v>0</v>
      </c>
      <c r="K68" s="1">
        <v>1</v>
      </c>
      <c r="M68" s="1">
        <v>38</v>
      </c>
      <c r="N68" s="1">
        <f t="shared" si="3"/>
        <v>1</v>
      </c>
      <c r="O68" s="1">
        <v>1</v>
      </c>
    </row>
    <row r="69" spans="1:15" x14ac:dyDescent="0.2">
      <c r="A69" s="1">
        <v>65</v>
      </c>
      <c r="B69" s="1">
        <f t="shared" si="0"/>
        <v>1</v>
      </c>
      <c r="C69" s="1">
        <v>1</v>
      </c>
      <c r="E69" s="1">
        <v>132</v>
      </c>
      <c r="F69" s="1">
        <f t="shared" si="1"/>
        <v>1</v>
      </c>
      <c r="G69" s="1">
        <v>1</v>
      </c>
      <c r="I69" s="1">
        <v>102</v>
      </c>
      <c r="J69" s="1">
        <f t="shared" si="2"/>
        <v>1</v>
      </c>
      <c r="K69" s="1">
        <v>1</v>
      </c>
      <c r="M69" s="1">
        <v>40</v>
      </c>
      <c r="N69" s="1">
        <f t="shared" si="3"/>
        <v>1</v>
      </c>
      <c r="O69" s="1">
        <v>1</v>
      </c>
    </row>
    <row r="70" spans="1:15" customFormat="1" hidden="1" x14ac:dyDescent="0.2">
      <c r="A70" s="1">
        <v>43</v>
      </c>
      <c r="B70" s="1">
        <f t="shared" si="0"/>
        <v>0</v>
      </c>
      <c r="C70" s="1">
        <v>1</v>
      </c>
      <c r="E70" s="1">
        <v>105</v>
      </c>
      <c r="F70" s="1">
        <f t="shared" si="1"/>
        <v>0</v>
      </c>
      <c r="G70" s="1">
        <v>1</v>
      </c>
      <c r="I70" s="1">
        <v>90</v>
      </c>
      <c r="J70" s="1">
        <f t="shared" si="2"/>
        <v>0</v>
      </c>
      <c r="K70" s="1">
        <v>1</v>
      </c>
      <c r="M70" s="1">
        <v>22</v>
      </c>
      <c r="N70" s="1">
        <f t="shared" si="3"/>
        <v>0</v>
      </c>
      <c r="O70" s="1">
        <v>1</v>
      </c>
    </row>
    <row r="71" spans="1:15" customFormat="1" hidden="1" x14ac:dyDescent="0.2">
      <c r="A71" s="1">
        <v>51</v>
      </c>
      <c r="B71" s="1">
        <f t="shared" si="0"/>
        <v>1</v>
      </c>
      <c r="C71" s="1">
        <v>0</v>
      </c>
      <c r="E71" s="1">
        <v>153</v>
      </c>
      <c r="F71" s="1">
        <f t="shared" si="1"/>
        <v>1</v>
      </c>
      <c r="G71" s="1">
        <v>0</v>
      </c>
      <c r="I71" s="1">
        <v>67</v>
      </c>
      <c r="J71" s="1">
        <f t="shared" si="2"/>
        <v>0</v>
      </c>
      <c r="K71" s="1">
        <v>0</v>
      </c>
      <c r="M71" s="1">
        <v>25</v>
      </c>
      <c r="N71" s="1">
        <f t="shared" si="3"/>
        <v>0</v>
      </c>
      <c r="O71" s="1">
        <v>0</v>
      </c>
    </row>
    <row r="72" spans="1:15" x14ac:dyDescent="0.2">
      <c r="A72" s="1">
        <v>32</v>
      </c>
      <c r="B72" s="1">
        <f t="shared" si="0"/>
        <v>0</v>
      </c>
      <c r="C72" s="1">
        <v>0</v>
      </c>
      <c r="E72" s="1">
        <v>111</v>
      </c>
      <c r="F72" s="1">
        <f t="shared" si="1"/>
        <v>0</v>
      </c>
      <c r="G72" s="1">
        <v>0</v>
      </c>
      <c r="I72" s="1">
        <v>69</v>
      </c>
      <c r="J72" s="1">
        <f t="shared" si="2"/>
        <v>0</v>
      </c>
      <c r="K72" s="1">
        <v>0</v>
      </c>
      <c r="M72" s="1">
        <v>36</v>
      </c>
      <c r="N72" s="1">
        <f t="shared" si="3"/>
        <v>1</v>
      </c>
      <c r="O72" s="1">
        <v>0</v>
      </c>
    </row>
    <row r="73" spans="1:15" customFormat="1" hidden="1" x14ac:dyDescent="0.2">
      <c r="A73" s="1">
        <v>45</v>
      </c>
      <c r="B73" s="1">
        <f t="shared" si="0"/>
        <v>0</v>
      </c>
      <c r="C73" s="1">
        <v>0</v>
      </c>
      <c r="E73" s="1">
        <v>125</v>
      </c>
      <c r="F73" s="1">
        <f t="shared" si="1"/>
        <v>0</v>
      </c>
      <c r="G73" s="1">
        <v>0</v>
      </c>
      <c r="I73" s="1">
        <v>102</v>
      </c>
      <c r="J73" s="1">
        <f t="shared" si="2"/>
        <v>1</v>
      </c>
      <c r="K73" s="1">
        <v>0</v>
      </c>
      <c r="M73" s="1">
        <v>17</v>
      </c>
      <c r="N73" s="1">
        <f t="shared" si="3"/>
        <v>0</v>
      </c>
      <c r="O73" s="1">
        <v>0</v>
      </c>
    </row>
    <row r="74" spans="1:15" customFormat="1" hidden="1" x14ac:dyDescent="0.2">
      <c r="A74" s="1">
        <v>34</v>
      </c>
      <c r="B74" s="1">
        <f t="shared" si="0"/>
        <v>0</v>
      </c>
      <c r="C74" s="1">
        <v>0</v>
      </c>
      <c r="E74" s="1">
        <v>106</v>
      </c>
      <c r="F74" s="1">
        <f t="shared" si="1"/>
        <v>0</v>
      </c>
      <c r="G74" s="1">
        <v>0</v>
      </c>
      <c r="I74" s="1">
        <v>92</v>
      </c>
      <c r="J74" s="1">
        <f t="shared" si="2"/>
        <v>1</v>
      </c>
      <c r="K74" s="1">
        <v>0</v>
      </c>
      <c r="M74" s="1">
        <v>24</v>
      </c>
      <c r="N74" s="1">
        <f t="shared" si="3"/>
        <v>0</v>
      </c>
      <c r="O74" s="1">
        <v>0</v>
      </c>
    </row>
    <row r="75" spans="1:15" customFormat="1" hidden="1" x14ac:dyDescent="0.2">
      <c r="A75" s="1">
        <v>39</v>
      </c>
      <c r="B75" s="1">
        <f t="shared" si="0"/>
        <v>0</v>
      </c>
      <c r="C75" s="1">
        <v>1</v>
      </c>
      <c r="E75" s="1">
        <v>139</v>
      </c>
      <c r="F75" s="1">
        <f t="shared" si="1"/>
        <v>1</v>
      </c>
      <c r="G75" s="1">
        <v>1</v>
      </c>
      <c r="I75" s="1">
        <v>77</v>
      </c>
      <c r="J75" s="1">
        <f t="shared" si="2"/>
        <v>0</v>
      </c>
      <c r="K75" s="1">
        <v>1</v>
      </c>
      <c r="M75" s="1">
        <v>20</v>
      </c>
      <c r="N75" s="1">
        <f t="shared" si="3"/>
        <v>0</v>
      </c>
      <c r="O75" s="1">
        <v>1</v>
      </c>
    </row>
    <row r="76" spans="1:15" customFormat="1" hidden="1" x14ac:dyDescent="0.2">
      <c r="A76" s="1">
        <v>62</v>
      </c>
      <c r="B76" s="1">
        <f t="shared" si="0"/>
        <v>1</v>
      </c>
      <c r="C76" s="1">
        <v>1</v>
      </c>
      <c r="E76" s="1">
        <v>124</v>
      </c>
      <c r="F76" s="1">
        <f t="shared" si="1"/>
        <v>0</v>
      </c>
      <c r="G76" s="1">
        <v>1</v>
      </c>
      <c r="I76" s="1">
        <v>105</v>
      </c>
      <c r="J76" s="1">
        <f t="shared" si="2"/>
        <v>1</v>
      </c>
      <c r="K76" s="1">
        <v>1</v>
      </c>
      <c r="M76" s="1">
        <v>25</v>
      </c>
      <c r="N76" s="1">
        <f t="shared" si="3"/>
        <v>0</v>
      </c>
      <c r="O76" s="1">
        <v>1</v>
      </c>
    </row>
    <row r="77" spans="1:15" x14ac:dyDescent="0.2">
      <c r="A77" s="1">
        <v>55</v>
      </c>
      <c r="B77" s="1">
        <f t="shared" si="0"/>
        <v>1</v>
      </c>
      <c r="C77" s="1">
        <v>1</v>
      </c>
      <c r="E77" s="1">
        <v>133</v>
      </c>
      <c r="F77" s="1">
        <f t="shared" si="1"/>
        <v>1</v>
      </c>
      <c r="G77" s="1">
        <v>1</v>
      </c>
      <c r="I77" s="1">
        <v>93</v>
      </c>
      <c r="J77" s="1">
        <f t="shared" si="2"/>
        <v>1</v>
      </c>
      <c r="K77" s="1">
        <v>1</v>
      </c>
      <c r="M77" s="1">
        <v>40</v>
      </c>
      <c r="N77" s="1">
        <f t="shared" si="3"/>
        <v>1</v>
      </c>
      <c r="O77" s="1">
        <v>1</v>
      </c>
    </row>
    <row r="78" spans="1:15" customFormat="1" hidden="1" x14ac:dyDescent="0.2">
      <c r="A78" s="1">
        <v>69</v>
      </c>
      <c r="B78" s="1">
        <f t="shared" si="0"/>
        <v>1</v>
      </c>
      <c r="C78" s="1">
        <v>1</v>
      </c>
      <c r="E78" s="1">
        <v>103</v>
      </c>
      <c r="F78" s="1">
        <f t="shared" si="1"/>
        <v>0</v>
      </c>
      <c r="G78" s="1">
        <v>1</v>
      </c>
      <c r="I78" s="1">
        <v>113</v>
      </c>
      <c r="J78" s="1">
        <f t="shared" si="2"/>
        <v>1</v>
      </c>
      <c r="K78" s="1">
        <v>1</v>
      </c>
      <c r="M78" s="1">
        <v>17</v>
      </c>
      <c r="N78" s="1">
        <f t="shared" si="3"/>
        <v>0</v>
      </c>
      <c r="O78" s="1">
        <v>1</v>
      </c>
    </row>
    <row r="79" spans="1:15" customFormat="1" hidden="1" x14ac:dyDescent="0.2">
      <c r="A79" s="1">
        <v>64</v>
      </c>
      <c r="B79" s="1">
        <f t="shared" si="0"/>
        <v>1</v>
      </c>
      <c r="C79" s="1">
        <v>1</v>
      </c>
      <c r="E79" s="1">
        <v>104</v>
      </c>
      <c r="F79" s="1">
        <f t="shared" si="1"/>
        <v>0</v>
      </c>
      <c r="G79" s="1">
        <v>1</v>
      </c>
      <c r="I79" s="1">
        <v>113</v>
      </c>
      <c r="J79" s="1">
        <f t="shared" si="2"/>
        <v>1</v>
      </c>
      <c r="K79" s="1">
        <v>1</v>
      </c>
      <c r="M79" s="1">
        <v>17</v>
      </c>
      <c r="N79" s="1">
        <f t="shared" si="3"/>
        <v>0</v>
      </c>
      <c r="O79" s="1">
        <v>1</v>
      </c>
    </row>
    <row r="80" spans="1:15" x14ac:dyDescent="0.2">
      <c r="A80" s="1">
        <v>35</v>
      </c>
      <c r="B80" s="1">
        <f t="shared" si="0"/>
        <v>0</v>
      </c>
      <c r="C80" s="1">
        <v>0</v>
      </c>
      <c r="E80" s="1">
        <v>112</v>
      </c>
      <c r="F80" s="1">
        <f t="shared" si="1"/>
        <v>0</v>
      </c>
      <c r="G80" s="1">
        <v>0</v>
      </c>
      <c r="I80" s="1">
        <v>86</v>
      </c>
      <c r="J80" s="1">
        <f t="shared" si="2"/>
        <v>0</v>
      </c>
      <c r="K80" s="1">
        <v>0</v>
      </c>
      <c r="M80" s="1">
        <v>35</v>
      </c>
      <c r="N80" s="1">
        <f t="shared" si="3"/>
        <v>1</v>
      </c>
      <c r="O80" s="1">
        <v>0</v>
      </c>
    </row>
    <row r="81" spans="1:15" x14ac:dyDescent="0.2">
      <c r="A81" s="1">
        <v>23</v>
      </c>
      <c r="B81" s="1">
        <f t="shared" ref="B81:B144" si="4">+IF(A81&gt;B$1,1,0)</f>
        <v>0</v>
      </c>
      <c r="C81" s="1">
        <v>1</v>
      </c>
      <c r="E81" s="1">
        <v>111</v>
      </c>
      <c r="F81" s="1">
        <f t="shared" ref="F81:F144" si="5">+IF(E81&gt;F$1,1,0)</f>
        <v>0</v>
      </c>
      <c r="G81" s="1">
        <v>1</v>
      </c>
      <c r="I81" s="1">
        <v>127</v>
      </c>
      <c r="J81" s="1">
        <f t="shared" ref="J81:J144" si="6">+IF(I81&gt;J$1,1,0)</f>
        <v>1</v>
      </c>
      <c r="K81" s="1">
        <v>1</v>
      </c>
      <c r="M81" s="1">
        <v>40</v>
      </c>
      <c r="N81" s="1">
        <f t="shared" ref="N81:N144" si="7">+IF(M81&gt;N$1,1,0)</f>
        <v>1</v>
      </c>
      <c r="O81" s="1">
        <v>1</v>
      </c>
    </row>
    <row r="82" spans="1:15" x14ac:dyDescent="0.2">
      <c r="A82" s="1">
        <v>62</v>
      </c>
      <c r="B82" s="1">
        <f t="shared" si="4"/>
        <v>1</v>
      </c>
      <c r="C82" s="1">
        <v>1</v>
      </c>
      <c r="E82" s="1">
        <v>114</v>
      </c>
      <c r="F82" s="1">
        <f t="shared" si="5"/>
        <v>0</v>
      </c>
      <c r="G82" s="1">
        <v>1</v>
      </c>
      <c r="I82" s="1">
        <v>124</v>
      </c>
      <c r="J82" s="1">
        <f t="shared" si="6"/>
        <v>1</v>
      </c>
      <c r="K82" s="1">
        <v>1</v>
      </c>
      <c r="M82" s="1">
        <v>35</v>
      </c>
      <c r="N82" s="1">
        <f t="shared" si="7"/>
        <v>1</v>
      </c>
      <c r="O82" s="1">
        <v>1</v>
      </c>
    </row>
    <row r="83" spans="1:15" x14ac:dyDescent="0.2">
      <c r="A83" s="1">
        <v>38</v>
      </c>
      <c r="B83" s="1">
        <f t="shared" si="4"/>
        <v>0</v>
      </c>
      <c r="C83" s="1">
        <v>1</v>
      </c>
      <c r="E83" s="1">
        <v>103</v>
      </c>
      <c r="F83" s="1">
        <f t="shared" si="5"/>
        <v>0</v>
      </c>
      <c r="G83" s="1">
        <v>1</v>
      </c>
      <c r="I83" s="1">
        <v>71</v>
      </c>
      <c r="J83" s="1">
        <f t="shared" si="6"/>
        <v>0</v>
      </c>
      <c r="K83" s="1">
        <v>1</v>
      </c>
      <c r="M83" s="1">
        <v>38</v>
      </c>
      <c r="N83" s="1">
        <f t="shared" si="7"/>
        <v>1</v>
      </c>
      <c r="O83" s="1">
        <v>1</v>
      </c>
    </row>
    <row r="84" spans="1:15" x14ac:dyDescent="0.2">
      <c r="A84" s="1">
        <v>55</v>
      </c>
      <c r="B84" s="1">
        <f t="shared" si="4"/>
        <v>1</v>
      </c>
      <c r="C84" s="1">
        <v>1</v>
      </c>
      <c r="E84" s="1">
        <v>127</v>
      </c>
      <c r="F84" s="1">
        <f t="shared" si="5"/>
        <v>1</v>
      </c>
      <c r="G84" s="1">
        <v>1</v>
      </c>
      <c r="I84" s="1">
        <v>92</v>
      </c>
      <c r="J84" s="1">
        <f t="shared" si="6"/>
        <v>1</v>
      </c>
      <c r="K84" s="1">
        <v>1</v>
      </c>
      <c r="M84" s="1">
        <v>41</v>
      </c>
      <c r="N84" s="1">
        <f t="shared" si="7"/>
        <v>1</v>
      </c>
      <c r="O84" s="1">
        <v>1</v>
      </c>
    </row>
    <row r="85" spans="1:15" x14ac:dyDescent="0.2">
      <c r="A85" s="1">
        <v>29</v>
      </c>
      <c r="B85" s="1">
        <f t="shared" si="4"/>
        <v>0</v>
      </c>
      <c r="C85" s="1">
        <v>1</v>
      </c>
      <c r="E85" s="1">
        <v>112</v>
      </c>
      <c r="F85" s="1">
        <f t="shared" si="5"/>
        <v>0</v>
      </c>
      <c r="G85" s="1">
        <v>1</v>
      </c>
      <c r="I85" s="1">
        <v>95</v>
      </c>
      <c r="J85" s="1">
        <f t="shared" si="6"/>
        <v>1</v>
      </c>
      <c r="K85" s="1">
        <v>1</v>
      </c>
      <c r="M85" s="1">
        <v>38</v>
      </c>
      <c r="N85" s="1">
        <f t="shared" si="7"/>
        <v>1</v>
      </c>
      <c r="O85" s="1">
        <v>1</v>
      </c>
    </row>
    <row r="86" spans="1:15" x14ac:dyDescent="0.2">
      <c r="A86" s="1">
        <v>30</v>
      </c>
      <c r="B86" s="1">
        <f t="shared" si="4"/>
        <v>0</v>
      </c>
      <c r="C86" s="1">
        <v>0</v>
      </c>
      <c r="E86" s="1">
        <v>147</v>
      </c>
      <c r="F86" s="1">
        <f t="shared" si="5"/>
        <v>1</v>
      </c>
      <c r="G86" s="1">
        <v>0</v>
      </c>
      <c r="I86" s="1">
        <v>92</v>
      </c>
      <c r="J86" s="1">
        <f t="shared" si="6"/>
        <v>1</v>
      </c>
      <c r="K86" s="1">
        <v>0</v>
      </c>
      <c r="M86" s="1">
        <v>30</v>
      </c>
      <c r="N86" s="1">
        <f t="shared" si="7"/>
        <v>1</v>
      </c>
      <c r="O86" s="1">
        <v>0</v>
      </c>
    </row>
    <row r="87" spans="1:15" customFormat="1" hidden="1" x14ac:dyDescent="0.2">
      <c r="A87" s="1">
        <v>42</v>
      </c>
      <c r="B87" s="1">
        <f t="shared" si="4"/>
        <v>0</v>
      </c>
      <c r="C87" s="1">
        <v>1</v>
      </c>
      <c r="E87" s="1">
        <v>108</v>
      </c>
      <c r="F87" s="1">
        <f t="shared" si="5"/>
        <v>0</v>
      </c>
      <c r="G87" s="1">
        <v>1</v>
      </c>
      <c r="I87" s="1">
        <v>114</v>
      </c>
      <c r="J87" s="1">
        <f t="shared" si="6"/>
        <v>1</v>
      </c>
      <c r="K87" s="1">
        <v>1</v>
      </c>
      <c r="M87" s="1">
        <v>20</v>
      </c>
      <c r="N87" s="1">
        <f t="shared" si="7"/>
        <v>0</v>
      </c>
      <c r="O87" s="1">
        <v>1</v>
      </c>
    </row>
    <row r="88" spans="1:15" x14ac:dyDescent="0.2">
      <c r="A88" s="1">
        <v>57</v>
      </c>
      <c r="B88" s="1">
        <f t="shared" si="4"/>
        <v>1</v>
      </c>
      <c r="C88" s="1">
        <v>1</v>
      </c>
      <c r="E88" s="1">
        <v>118</v>
      </c>
      <c r="F88" s="1">
        <f t="shared" si="5"/>
        <v>0</v>
      </c>
      <c r="G88" s="1">
        <v>1</v>
      </c>
      <c r="I88" s="1">
        <v>88</v>
      </c>
      <c r="J88" s="1">
        <f t="shared" si="6"/>
        <v>0</v>
      </c>
      <c r="K88" s="1">
        <v>1</v>
      </c>
      <c r="M88" s="1">
        <v>41</v>
      </c>
      <c r="N88" s="1">
        <f t="shared" si="7"/>
        <v>1</v>
      </c>
      <c r="O88" s="1">
        <v>1</v>
      </c>
    </row>
    <row r="89" spans="1:15" x14ac:dyDescent="0.2">
      <c r="A89" s="1">
        <v>55</v>
      </c>
      <c r="B89" s="1">
        <f t="shared" si="4"/>
        <v>1</v>
      </c>
      <c r="C89" s="1">
        <v>1</v>
      </c>
      <c r="E89" s="1">
        <v>120</v>
      </c>
      <c r="F89" s="1">
        <f t="shared" si="5"/>
        <v>0</v>
      </c>
      <c r="G89" s="1">
        <v>1</v>
      </c>
      <c r="I89" s="1">
        <v>86</v>
      </c>
      <c r="J89" s="1">
        <f t="shared" si="6"/>
        <v>0</v>
      </c>
      <c r="K89" s="1">
        <v>1</v>
      </c>
      <c r="M89" s="1">
        <v>32</v>
      </c>
      <c r="N89" s="1">
        <f t="shared" si="7"/>
        <v>1</v>
      </c>
      <c r="O89" s="1">
        <v>1</v>
      </c>
    </row>
    <row r="90" spans="1:15" customFormat="1" hidden="1" x14ac:dyDescent="0.2">
      <c r="A90" s="1">
        <v>34</v>
      </c>
      <c r="B90" s="1">
        <f t="shared" si="4"/>
        <v>0</v>
      </c>
      <c r="C90" s="1">
        <v>0</v>
      </c>
      <c r="E90" s="1">
        <v>107</v>
      </c>
      <c r="F90" s="1">
        <f t="shared" si="5"/>
        <v>0</v>
      </c>
      <c r="G90" s="1">
        <v>0</v>
      </c>
      <c r="I90" s="1">
        <v>75</v>
      </c>
      <c r="J90" s="1">
        <f t="shared" si="6"/>
        <v>0</v>
      </c>
      <c r="K90" s="1">
        <v>0</v>
      </c>
      <c r="M90" s="1">
        <v>19</v>
      </c>
      <c r="N90" s="1">
        <f t="shared" si="7"/>
        <v>0</v>
      </c>
      <c r="O90" s="1">
        <v>0</v>
      </c>
    </row>
    <row r="91" spans="1:15" customFormat="1" hidden="1" x14ac:dyDescent="0.2">
      <c r="A91" s="1">
        <v>64</v>
      </c>
      <c r="B91" s="1">
        <f t="shared" si="4"/>
        <v>1</v>
      </c>
      <c r="C91" s="1">
        <v>0</v>
      </c>
      <c r="E91" s="1">
        <v>119</v>
      </c>
      <c r="F91" s="1">
        <f t="shared" si="5"/>
        <v>0</v>
      </c>
      <c r="G91" s="1">
        <v>0</v>
      </c>
      <c r="I91" s="1">
        <v>79</v>
      </c>
      <c r="J91" s="1">
        <f t="shared" si="6"/>
        <v>0</v>
      </c>
      <c r="K91" s="1">
        <v>0</v>
      </c>
      <c r="M91" s="1">
        <v>22</v>
      </c>
      <c r="N91" s="1">
        <f t="shared" si="7"/>
        <v>0</v>
      </c>
      <c r="O91" s="1">
        <v>0</v>
      </c>
    </row>
    <row r="92" spans="1:15" customFormat="1" hidden="1" x14ac:dyDescent="0.2">
      <c r="A92" s="1">
        <v>40</v>
      </c>
      <c r="B92" s="1">
        <f t="shared" si="4"/>
        <v>0</v>
      </c>
      <c r="C92" s="1">
        <v>0</v>
      </c>
      <c r="E92" s="1">
        <v>127</v>
      </c>
      <c r="F92" s="1">
        <f t="shared" si="5"/>
        <v>1</v>
      </c>
      <c r="G92" s="1">
        <v>0</v>
      </c>
      <c r="I92" s="1">
        <v>124</v>
      </c>
      <c r="J92" s="1">
        <f t="shared" si="6"/>
        <v>1</v>
      </c>
      <c r="K92" s="1">
        <v>0</v>
      </c>
      <c r="M92" s="1">
        <v>22</v>
      </c>
      <c r="N92" s="1">
        <f t="shared" si="7"/>
        <v>0</v>
      </c>
      <c r="O92" s="1">
        <v>0</v>
      </c>
    </row>
    <row r="93" spans="1:15" x14ac:dyDescent="0.2">
      <c r="A93" s="1">
        <v>59</v>
      </c>
      <c r="B93" s="1">
        <f t="shared" si="4"/>
        <v>1</v>
      </c>
      <c r="C93" s="1">
        <v>1</v>
      </c>
      <c r="E93" s="1">
        <v>130</v>
      </c>
      <c r="F93" s="1">
        <f t="shared" si="5"/>
        <v>1</v>
      </c>
      <c r="G93" s="1">
        <v>1</v>
      </c>
      <c r="I93" s="1">
        <v>65</v>
      </c>
      <c r="J93" s="1">
        <f t="shared" si="6"/>
        <v>0</v>
      </c>
      <c r="K93" s="1">
        <v>1</v>
      </c>
      <c r="M93" s="1">
        <v>36</v>
      </c>
      <c r="N93" s="1">
        <f t="shared" si="7"/>
        <v>1</v>
      </c>
      <c r="O93" s="1">
        <v>1</v>
      </c>
    </row>
    <row r="94" spans="1:15" x14ac:dyDescent="0.2">
      <c r="A94" s="1">
        <v>40</v>
      </c>
      <c r="B94" s="1">
        <f t="shared" si="4"/>
        <v>0</v>
      </c>
      <c r="C94" s="1">
        <v>1</v>
      </c>
      <c r="E94" s="1">
        <v>116</v>
      </c>
      <c r="F94" s="1">
        <f t="shared" si="5"/>
        <v>0</v>
      </c>
      <c r="G94" s="1">
        <v>1</v>
      </c>
      <c r="I94" s="1">
        <v>100</v>
      </c>
      <c r="J94" s="1">
        <f t="shared" si="6"/>
        <v>1</v>
      </c>
      <c r="K94" s="1">
        <v>1</v>
      </c>
      <c r="M94" s="1">
        <v>36</v>
      </c>
      <c r="N94" s="1">
        <f t="shared" si="7"/>
        <v>1</v>
      </c>
      <c r="O94" s="1">
        <v>1</v>
      </c>
    </row>
    <row r="95" spans="1:15" x14ac:dyDescent="0.2">
      <c r="A95" s="1">
        <v>59</v>
      </c>
      <c r="B95" s="1">
        <f t="shared" si="4"/>
        <v>1</v>
      </c>
      <c r="C95" s="1">
        <v>1</v>
      </c>
      <c r="E95" s="1">
        <v>149</v>
      </c>
      <c r="F95" s="1">
        <f t="shared" si="5"/>
        <v>1</v>
      </c>
      <c r="G95" s="1">
        <v>1</v>
      </c>
      <c r="I95" s="1">
        <v>128</v>
      </c>
      <c r="J95" s="1">
        <f t="shared" si="6"/>
        <v>1</v>
      </c>
      <c r="K95" s="1">
        <v>1</v>
      </c>
      <c r="M95" s="1">
        <v>37</v>
      </c>
      <c r="N95" s="1">
        <f t="shared" si="7"/>
        <v>1</v>
      </c>
      <c r="O95" s="1">
        <v>1</v>
      </c>
    </row>
    <row r="96" spans="1:15" customFormat="1" hidden="1" x14ac:dyDescent="0.2">
      <c r="A96" s="1">
        <v>43</v>
      </c>
      <c r="B96" s="1">
        <f t="shared" si="4"/>
        <v>0</v>
      </c>
      <c r="C96" s="1">
        <v>0</v>
      </c>
      <c r="E96" s="1">
        <v>113</v>
      </c>
      <c r="F96" s="1">
        <f t="shared" si="5"/>
        <v>0</v>
      </c>
      <c r="G96" s="1">
        <v>0</v>
      </c>
      <c r="I96" s="1">
        <v>74</v>
      </c>
      <c r="J96" s="1">
        <f t="shared" si="6"/>
        <v>0</v>
      </c>
      <c r="K96" s="1">
        <v>0</v>
      </c>
      <c r="M96" s="1">
        <v>25</v>
      </c>
      <c r="N96" s="1">
        <f t="shared" si="7"/>
        <v>0</v>
      </c>
      <c r="O96" s="1">
        <v>0</v>
      </c>
    </row>
    <row r="97" spans="1:15" customFormat="1" hidden="1" x14ac:dyDescent="0.2">
      <c r="A97" s="1">
        <v>54</v>
      </c>
      <c r="B97" s="1">
        <f t="shared" si="4"/>
        <v>1</v>
      </c>
      <c r="C97" s="1">
        <v>0</v>
      </c>
      <c r="E97" s="1">
        <v>145</v>
      </c>
      <c r="F97" s="1">
        <f t="shared" si="5"/>
        <v>1</v>
      </c>
      <c r="G97" s="1">
        <v>0</v>
      </c>
      <c r="I97" s="1">
        <v>73</v>
      </c>
      <c r="J97" s="1">
        <f t="shared" si="6"/>
        <v>0</v>
      </c>
      <c r="K97" s="1">
        <v>0</v>
      </c>
      <c r="M97" s="1">
        <v>20</v>
      </c>
      <c r="N97" s="1">
        <f t="shared" si="7"/>
        <v>0</v>
      </c>
      <c r="O97" s="1">
        <v>0</v>
      </c>
    </row>
    <row r="98" spans="1:15" x14ac:dyDescent="0.2">
      <c r="A98" s="1">
        <v>33</v>
      </c>
      <c r="B98" s="1">
        <f t="shared" si="4"/>
        <v>0</v>
      </c>
      <c r="C98" s="1">
        <v>1</v>
      </c>
      <c r="E98" s="1">
        <v>120</v>
      </c>
      <c r="F98" s="1">
        <f t="shared" si="5"/>
        <v>0</v>
      </c>
      <c r="G98" s="1">
        <v>1</v>
      </c>
      <c r="I98" s="1">
        <v>64</v>
      </c>
      <c r="J98" s="1">
        <f t="shared" si="6"/>
        <v>0</v>
      </c>
      <c r="K98" s="1">
        <v>1</v>
      </c>
      <c r="M98" s="1">
        <v>33</v>
      </c>
      <c r="N98" s="1">
        <f t="shared" si="7"/>
        <v>1</v>
      </c>
      <c r="O98" s="1">
        <v>1</v>
      </c>
    </row>
    <row r="99" spans="1:15" x14ac:dyDescent="0.2">
      <c r="A99" s="1">
        <v>55</v>
      </c>
      <c r="B99" s="1">
        <f t="shared" si="4"/>
        <v>1</v>
      </c>
      <c r="C99" s="1">
        <v>1</v>
      </c>
      <c r="E99" s="1">
        <v>115</v>
      </c>
      <c r="F99" s="1">
        <f t="shared" si="5"/>
        <v>0</v>
      </c>
      <c r="G99" s="1">
        <v>1</v>
      </c>
      <c r="I99" s="1">
        <v>81</v>
      </c>
      <c r="J99" s="1">
        <f t="shared" si="6"/>
        <v>0</v>
      </c>
      <c r="K99" s="1">
        <v>1</v>
      </c>
      <c r="M99" s="1">
        <v>32</v>
      </c>
      <c r="N99" s="1">
        <f t="shared" si="7"/>
        <v>1</v>
      </c>
      <c r="O99" s="1">
        <v>1</v>
      </c>
    </row>
    <row r="100" spans="1:15" customFormat="1" hidden="1" x14ac:dyDescent="0.2">
      <c r="A100" s="1">
        <v>51</v>
      </c>
      <c r="B100" s="1">
        <f t="shared" si="4"/>
        <v>1</v>
      </c>
      <c r="C100" s="1">
        <v>1</v>
      </c>
      <c r="E100" s="1">
        <v>130</v>
      </c>
      <c r="F100" s="1">
        <f t="shared" si="5"/>
        <v>1</v>
      </c>
      <c r="G100" s="1">
        <v>1</v>
      </c>
      <c r="I100" s="1">
        <v>70</v>
      </c>
      <c r="J100" s="1">
        <f t="shared" si="6"/>
        <v>0</v>
      </c>
      <c r="K100" s="1">
        <v>1</v>
      </c>
      <c r="M100" s="1">
        <v>20</v>
      </c>
      <c r="N100" s="1">
        <f t="shared" si="7"/>
        <v>0</v>
      </c>
      <c r="O100" s="1">
        <v>1</v>
      </c>
    </row>
    <row r="101" spans="1:15" customFormat="1" hidden="1" x14ac:dyDescent="0.2">
      <c r="A101" s="1">
        <v>65</v>
      </c>
      <c r="B101" s="1">
        <f t="shared" si="4"/>
        <v>1</v>
      </c>
      <c r="C101" s="1">
        <v>1</v>
      </c>
      <c r="E101" s="1">
        <v>101</v>
      </c>
      <c r="F101" s="1">
        <f t="shared" si="5"/>
        <v>0</v>
      </c>
      <c r="G101" s="1">
        <v>1</v>
      </c>
      <c r="I101" s="1">
        <v>63</v>
      </c>
      <c r="J101" s="1">
        <f t="shared" si="6"/>
        <v>0</v>
      </c>
      <c r="K101" s="1">
        <v>1</v>
      </c>
      <c r="M101" s="1">
        <v>18</v>
      </c>
      <c r="N101" s="1">
        <f t="shared" si="7"/>
        <v>0</v>
      </c>
      <c r="O101" s="1">
        <v>1</v>
      </c>
    </row>
    <row r="102" spans="1:15" x14ac:dyDescent="0.2">
      <c r="A102" s="1">
        <v>62</v>
      </c>
      <c r="B102" s="1">
        <f t="shared" si="4"/>
        <v>1</v>
      </c>
      <c r="C102" s="1">
        <v>1</v>
      </c>
      <c r="E102" s="1">
        <v>109</v>
      </c>
      <c r="F102" s="1">
        <f t="shared" si="5"/>
        <v>0</v>
      </c>
      <c r="G102" s="1">
        <v>1</v>
      </c>
      <c r="I102" s="1">
        <v>110</v>
      </c>
      <c r="J102" s="1">
        <f t="shared" si="6"/>
        <v>1</v>
      </c>
      <c r="K102" s="1">
        <v>1</v>
      </c>
      <c r="M102" s="1">
        <v>38</v>
      </c>
      <c r="N102" s="1">
        <f t="shared" si="7"/>
        <v>1</v>
      </c>
      <c r="O102" s="1">
        <v>1</v>
      </c>
    </row>
    <row r="103" spans="1:15" x14ac:dyDescent="0.2">
      <c r="A103" s="1">
        <v>60</v>
      </c>
      <c r="B103" s="1">
        <f t="shared" si="4"/>
        <v>1</v>
      </c>
      <c r="C103" s="1">
        <v>1</v>
      </c>
      <c r="E103" s="1">
        <v>130</v>
      </c>
      <c r="F103" s="1">
        <f t="shared" si="5"/>
        <v>1</v>
      </c>
      <c r="G103" s="1">
        <v>1</v>
      </c>
      <c r="I103" s="1">
        <v>69</v>
      </c>
      <c r="J103" s="1">
        <f t="shared" si="6"/>
        <v>0</v>
      </c>
      <c r="K103" s="1">
        <v>1</v>
      </c>
      <c r="M103" s="1">
        <v>35</v>
      </c>
      <c r="N103" s="1">
        <f t="shared" si="7"/>
        <v>1</v>
      </c>
      <c r="O103" s="1">
        <v>1</v>
      </c>
    </row>
    <row r="104" spans="1:15" x14ac:dyDescent="0.2">
      <c r="A104" s="1">
        <v>61</v>
      </c>
      <c r="B104" s="1">
        <f t="shared" si="4"/>
        <v>1</v>
      </c>
      <c r="C104" s="1">
        <v>1</v>
      </c>
      <c r="E104" s="1">
        <v>124</v>
      </c>
      <c r="F104" s="1">
        <f t="shared" si="5"/>
        <v>0</v>
      </c>
      <c r="G104" s="1">
        <v>1</v>
      </c>
      <c r="I104" s="1">
        <v>95</v>
      </c>
      <c r="J104" s="1">
        <f t="shared" si="6"/>
        <v>1</v>
      </c>
      <c r="K104" s="1">
        <v>1</v>
      </c>
      <c r="M104" s="1">
        <v>36</v>
      </c>
      <c r="N104" s="1">
        <f t="shared" si="7"/>
        <v>1</v>
      </c>
      <c r="O104" s="1">
        <v>1</v>
      </c>
    </row>
    <row r="105" spans="1:15" x14ac:dyDescent="0.2">
      <c r="A105" s="1">
        <v>53</v>
      </c>
      <c r="B105" s="1">
        <f t="shared" si="4"/>
        <v>1</v>
      </c>
      <c r="C105" s="1">
        <v>1</v>
      </c>
      <c r="E105" s="1">
        <v>150</v>
      </c>
      <c r="F105" s="1">
        <f t="shared" si="5"/>
        <v>1</v>
      </c>
      <c r="G105" s="1">
        <v>1</v>
      </c>
      <c r="I105" s="1">
        <v>81</v>
      </c>
      <c r="J105" s="1">
        <f t="shared" si="6"/>
        <v>0</v>
      </c>
      <c r="K105" s="1">
        <v>1</v>
      </c>
      <c r="M105" s="1">
        <v>41</v>
      </c>
      <c r="N105" s="1">
        <f t="shared" si="7"/>
        <v>1</v>
      </c>
      <c r="O105" s="1">
        <v>1</v>
      </c>
    </row>
    <row r="106" spans="1:15" customFormat="1" hidden="1" x14ac:dyDescent="0.2">
      <c r="A106" s="1">
        <v>33</v>
      </c>
      <c r="B106" s="1">
        <f t="shared" si="4"/>
        <v>0</v>
      </c>
      <c r="C106" s="1">
        <v>0</v>
      </c>
      <c r="E106" s="1">
        <v>143</v>
      </c>
      <c r="F106" s="1">
        <f t="shared" si="5"/>
        <v>1</v>
      </c>
      <c r="G106" s="1">
        <v>0</v>
      </c>
      <c r="I106" s="1">
        <v>120</v>
      </c>
      <c r="J106" s="1">
        <f t="shared" si="6"/>
        <v>1</v>
      </c>
      <c r="K106" s="1">
        <v>0</v>
      </c>
      <c r="M106" s="1">
        <v>18</v>
      </c>
      <c r="N106" s="1">
        <f t="shared" si="7"/>
        <v>0</v>
      </c>
      <c r="O106" s="1">
        <v>0</v>
      </c>
    </row>
    <row r="107" spans="1:15" customFormat="1" hidden="1" x14ac:dyDescent="0.2">
      <c r="A107" s="1">
        <v>26</v>
      </c>
      <c r="B107" s="1">
        <f t="shared" si="4"/>
        <v>0</v>
      </c>
      <c r="C107" s="1">
        <v>0</v>
      </c>
      <c r="E107" s="1">
        <v>100</v>
      </c>
      <c r="F107" s="1">
        <f t="shared" si="5"/>
        <v>0</v>
      </c>
      <c r="G107" s="1">
        <v>0</v>
      </c>
      <c r="I107" s="1">
        <v>107</v>
      </c>
      <c r="J107" s="1">
        <f t="shared" si="6"/>
        <v>1</v>
      </c>
      <c r="K107" s="1">
        <v>0</v>
      </c>
      <c r="M107" s="1">
        <v>20</v>
      </c>
      <c r="N107" s="1">
        <f t="shared" si="7"/>
        <v>0</v>
      </c>
      <c r="O107" s="1">
        <v>0</v>
      </c>
    </row>
    <row r="108" spans="1:15" customFormat="1" hidden="1" x14ac:dyDescent="0.2">
      <c r="A108" s="1">
        <v>23</v>
      </c>
      <c r="B108" s="1">
        <f t="shared" si="4"/>
        <v>0</v>
      </c>
      <c r="C108" s="1">
        <v>0</v>
      </c>
      <c r="E108" s="1">
        <v>107</v>
      </c>
      <c r="F108" s="1">
        <f t="shared" si="5"/>
        <v>0</v>
      </c>
      <c r="G108" s="1">
        <v>0</v>
      </c>
      <c r="I108" s="1">
        <v>124</v>
      </c>
      <c r="J108" s="1">
        <f t="shared" si="6"/>
        <v>1</v>
      </c>
      <c r="K108" s="1">
        <v>0</v>
      </c>
      <c r="M108" s="1">
        <v>20</v>
      </c>
      <c r="N108" s="1">
        <f t="shared" si="7"/>
        <v>0</v>
      </c>
      <c r="O108" s="1">
        <v>0</v>
      </c>
    </row>
    <row r="109" spans="1:15" customFormat="1" hidden="1" x14ac:dyDescent="0.2">
      <c r="A109" s="1">
        <v>55</v>
      </c>
      <c r="B109" s="1">
        <f t="shared" si="4"/>
        <v>1</v>
      </c>
      <c r="C109" s="1">
        <v>0</v>
      </c>
      <c r="E109" s="1">
        <v>151</v>
      </c>
      <c r="F109" s="1">
        <f t="shared" si="5"/>
        <v>1</v>
      </c>
      <c r="G109" s="1">
        <v>0</v>
      </c>
      <c r="I109" s="1">
        <v>67</v>
      </c>
      <c r="J109" s="1">
        <f t="shared" si="6"/>
        <v>0</v>
      </c>
      <c r="K109" s="1">
        <v>0</v>
      </c>
      <c r="M109" s="1">
        <v>18</v>
      </c>
      <c r="N109" s="1">
        <f t="shared" si="7"/>
        <v>0</v>
      </c>
      <c r="O109" s="1">
        <v>0</v>
      </c>
    </row>
    <row r="110" spans="1:15" x14ac:dyDescent="0.2">
      <c r="A110" s="1">
        <v>69</v>
      </c>
      <c r="B110" s="1">
        <f t="shared" si="4"/>
        <v>1</v>
      </c>
      <c r="C110" s="1">
        <v>1</v>
      </c>
      <c r="E110" s="1">
        <v>132</v>
      </c>
      <c r="F110" s="1">
        <f t="shared" si="5"/>
        <v>1</v>
      </c>
      <c r="G110" s="1">
        <v>1</v>
      </c>
      <c r="I110" s="1">
        <v>90</v>
      </c>
      <c r="J110" s="1">
        <f t="shared" si="6"/>
        <v>0</v>
      </c>
      <c r="K110" s="1">
        <v>1</v>
      </c>
      <c r="M110" s="1">
        <v>36</v>
      </c>
      <c r="N110" s="1">
        <f t="shared" si="7"/>
        <v>1</v>
      </c>
      <c r="O110" s="1">
        <v>1</v>
      </c>
    </row>
    <row r="111" spans="1:15" x14ac:dyDescent="0.2">
      <c r="A111" s="1">
        <v>56</v>
      </c>
      <c r="B111" s="1">
        <f t="shared" si="4"/>
        <v>1</v>
      </c>
      <c r="C111" s="1">
        <v>1</v>
      </c>
      <c r="E111" s="1">
        <v>131</v>
      </c>
      <c r="F111" s="1">
        <f t="shared" si="5"/>
        <v>1</v>
      </c>
      <c r="G111" s="1">
        <v>1</v>
      </c>
      <c r="I111" s="1">
        <v>101</v>
      </c>
      <c r="J111" s="1">
        <f t="shared" si="6"/>
        <v>1</v>
      </c>
      <c r="K111" s="1">
        <v>1</v>
      </c>
      <c r="M111" s="1">
        <v>32</v>
      </c>
      <c r="N111" s="1">
        <f t="shared" si="7"/>
        <v>1</v>
      </c>
      <c r="O111" s="1">
        <v>1</v>
      </c>
    </row>
    <row r="112" spans="1:15" x14ac:dyDescent="0.2">
      <c r="A112" s="1">
        <v>45</v>
      </c>
      <c r="B112" s="1">
        <f t="shared" si="4"/>
        <v>0</v>
      </c>
      <c r="C112" s="1">
        <v>0</v>
      </c>
      <c r="E112" s="1">
        <v>116</v>
      </c>
      <c r="F112" s="1">
        <f t="shared" si="5"/>
        <v>0</v>
      </c>
      <c r="G112" s="1">
        <v>0</v>
      </c>
      <c r="I112" s="1">
        <v>66</v>
      </c>
      <c r="J112" s="1">
        <f t="shared" si="6"/>
        <v>0</v>
      </c>
      <c r="K112" s="1">
        <v>0</v>
      </c>
      <c r="M112" s="1">
        <v>33</v>
      </c>
      <c r="N112" s="1">
        <f t="shared" si="7"/>
        <v>1</v>
      </c>
      <c r="O112" s="1">
        <v>0</v>
      </c>
    </row>
    <row r="113" spans="1:15" customFormat="1" hidden="1" x14ac:dyDescent="0.2">
      <c r="A113" s="1">
        <v>54</v>
      </c>
      <c r="B113" s="1">
        <f t="shared" si="4"/>
        <v>1</v>
      </c>
      <c r="C113" s="1">
        <v>0</v>
      </c>
      <c r="E113" s="1">
        <v>128</v>
      </c>
      <c r="F113" s="1">
        <f t="shared" si="5"/>
        <v>1</v>
      </c>
      <c r="G113" s="1">
        <v>0</v>
      </c>
      <c r="I113" s="1">
        <v>86</v>
      </c>
      <c r="J113" s="1">
        <f t="shared" si="6"/>
        <v>0</v>
      </c>
      <c r="K113" s="1">
        <v>0</v>
      </c>
      <c r="M113" s="1">
        <v>24</v>
      </c>
      <c r="N113" s="1">
        <f t="shared" si="7"/>
        <v>0</v>
      </c>
      <c r="O113" s="1">
        <v>0</v>
      </c>
    </row>
    <row r="114" spans="1:15" x14ac:dyDescent="0.2">
      <c r="A114" s="1">
        <v>26</v>
      </c>
      <c r="B114" s="1">
        <f t="shared" si="4"/>
        <v>0</v>
      </c>
      <c r="C114" s="1">
        <v>0</v>
      </c>
      <c r="E114" s="1">
        <v>149</v>
      </c>
      <c r="F114" s="1">
        <f t="shared" si="5"/>
        <v>1</v>
      </c>
      <c r="G114" s="1">
        <v>0</v>
      </c>
      <c r="I114" s="1">
        <v>93</v>
      </c>
      <c r="J114" s="1">
        <f t="shared" si="6"/>
        <v>1</v>
      </c>
      <c r="K114" s="1">
        <v>0</v>
      </c>
      <c r="M114" s="1">
        <v>33</v>
      </c>
      <c r="N114" s="1">
        <f t="shared" si="7"/>
        <v>1</v>
      </c>
      <c r="O114" s="1">
        <v>0</v>
      </c>
    </row>
    <row r="115" spans="1:15" x14ac:dyDescent="0.2">
      <c r="A115" s="1">
        <v>28</v>
      </c>
      <c r="B115" s="1">
        <f t="shared" si="4"/>
        <v>0</v>
      </c>
      <c r="C115" s="1">
        <v>1</v>
      </c>
      <c r="E115" s="1">
        <v>135</v>
      </c>
      <c r="F115" s="1">
        <f t="shared" si="5"/>
        <v>1</v>
      </c>
      <c r="G115" s="1">
        <v>1</v>
      </c>
      <c r="I115" s="1">
        <v>110</v>
      </c>
      <c r="J115" s="1">
        <f t="shared" si="6"/>
        <v>1</v>
      </c>
      <c r="K115" s="1">
        <v>1</v>
      </c>
      <c r="M115" s="1">
        <v>35</v>
      </c>
      <c r="N115" s="1">
        <f t="shared" si="7"/>
        <v>1</v>
      </c>
      <c r="O115" s="1">
        <v>1</v>
      </c>
    </row>
    <row r="116" spans="1:15" customFormat="1" hidden="1" x14ac:dyDescent="0.2">
      <c r="A116" s="1">
        <v>50</v>
      </c>
      <c r="B116" s="1">
        <f t="shared" si="4"/>
        <v>1</v>
      </c>
      <c r="C116" s="1">
        <v>0</v>
      </c>
      <c r="E116" s="1">
        <v>120</v>
      </c>
      <c r="F116" s="1">
        <f t="shared" si="5"/>
        <v>0</v>
      </c>
      <c r="G116" s="1">
        <v>0</v>
      </c>
      <c r="I116" s="1">
        <v>113</v>
      </c>
      <c r="J116" s="1">
        <f t="shared" si="6"/>
        <v>1</v>
      </c>
      <c r="K116" s="1">
        <v>0</v>
      </c>
      <c r="M116" s="1">
        <v>19</v>
      </c>
      <c r="N116" s="1">
        <f t="shared" si="7"/>
        <v>0</v>
      </c>
      <c r="O116" s="1">
        <v>0</v>
      </c>
    </row>
    <row r="117" spans="1:15" x14ac:dyDescent="0.2">
      <c r="A117" s="1">
        <v>57</v>
      </c>
      <c r="B117" s="1">
        <f t="shared" si="4"/>
        <v>1</v>
      </c>
      <c r="C117" s="1">
        <v>1</v>
      </c>
      <c r="E117" s="1">
        <v>117</v>
      </c>
      <c r="F117" s="1">
        <f t="shared" si="5"/>
        <v>0</v>
      </c>
      <c r="G117" s="1">
        <v>1</v>
      </c>
      <c r="I117" s="1">
        <v>101</v>
      </c>
      <c r="J117" s="1">
        <f t="shared" si="6"/>
        <v>1</v>
      </c>
      <c r="K117" s="1">
        <v>1</v>
      </c>
      <c r="M117" s="1">
        <v>30</v>
      </c>
      <c r="N117" s="1">
        <f t="shared" si="7"/>
        <v>1</v>
      </c>
      <c r="O117" s="1">
        <v>1</v>
      </c>
    </row>
    <row r="118" spans="1:15" customFormat="1" hidden="1" x14ac:dyDescent="0.2">
      <c r="A118" s="1">
        <v>64</v>
      </c>
      <c r="B118" s="1">
        <f t="shared" si="4"/>
        <v>1</v>
      </c>
      <c r="C118" s="1">
        <v>1</v>
      </c>
      <c r="E118" s="1">
        <v>152</v>
      </c>
      <c r="F118" s="1">
        <f t="shared" si="5"/>
        <v>1</v>
      </c>
      <c r="G118" s="1">
        <v>1</v>
      </c>
      <c r="I118" s="1">
        <v>104</v>
      </c>
      <c r="J118" s="1">
        <f t="shared" si="6"/>
        <v>1</v>
      </c>
      <c r="K118" s="1">
        <v>1</v>
      </c>
      <c r="M118" s="1">
        <v>20</v>
      </c>
      <c r="N118" s="1">
        <f t="shared" si="7"/>
        <v>0</v>
      </c>
      <c r="O118" s="1">
        <v>1</v>
      </c>
    </row>
    <row r="119" spans="1:15" x14ac:dyDescent="0.2">
      <c r="A119" s="1">
        <v>24</v>
      </c>
      <c r="B119" s="1">
        <f t="shared" si="4"/>
        <v>0</v>
      </c>
      <c r="C119" s="1">
        <v>0</v>
      </c>
      <c r="E119" s="1">
        <v>111</v>
      </c>
      <c r="F119" s="1">
        <f t="shared" si="5"/>
        <v>0</v>
      </c>
      <c r="G119" s="1">
        <v>0</v>
      </c>
      <c r="I119" s="1">
        <v>85</v>
      </c>
      <c r="J119" s="1">
        <f t="shared" si="6"/>
        <v>0</v>
      </c>
      <c r="K119" s="1">
        <v>0</v>
      </c>
      <c r="M119" s="1">
        <v>37</v>
      </c>
      <c r="N119" s="1">
        <f t="shared" si="7"/>
        <v>1</v>
      </c>
      <c r="O119" s="1">
        <v>0</v>
      </c>
    </row>
    <row r="120" spans="1:15" x14ac:dyDescent="0.2">
      <c r="A120" s="1">
        <v>51</v>
      </c>
      <c r="B120" s="1">
        <f t="shared" si="4"/>
        <v>1</v>
      </c>
      <c r="C120" s="1">
        <v>1</v>
      </c>
      <c r="E120" s="1">
        <v>102</v>
      </c>
      <c r="F120" s="1">
        <f t="shared" si="5"/>
        <v>0</v>
      </c>
      <c r="G120" s="1">
        <v>1</v>
      </c>
      <c r="I120" s="1">
        <v>101</v>
      </c>
      <c r="J120" s="1">
        <f t="shared" si="6"/>
        <v>1</v>
      </c>
      <c r="K120" s="1">
        <v>1</v>
      </c>
      <c r="M120" s="1">
        <v>33</v>
      </c>
      <c r="N120" s="1">
        <f t="shared" si="7"/>
        <v>1</v>
      </c>
      <c r="O120" s="1">
        <v>1</v>
      </c>
    </row>
    <row r="121" spans="1:15" x14ac:dyDescent="0.2">
      <c r="A121" s="1">
        <v>62</v>
      </c>
      <c r="B121" s="1">
        <f t="shared" si="4"/>
        <v>1</v>
      </c>
      <c r="C121" s="1">
        <v>1</v>
      </c>
      <c r="E121" s="1">
        <v>129</v>
      </c>
      <c r="F121" s="1">
        <f t="shared" si="5"/>
        <v>1</v>
      </c>
      <c r="G121" s="1">
        <v>1</v>
      </c>
      <c r="I121" s="1">
        <v>117</v>
      </c>
      <c r="J121" s="1">
        <f t="shared" si="6"/>
        <v>1</v>
      </c>
      <c r="K121" s="1">
        <v>1</v>
      </c>
      <c r="M121" s="1">
        <v>34</v>
      </c>
      <c r="N121" s="1">
        <f t="shared" si="7"/>
        <v>1</v>
      </c>
      <c r="O121" s="1">
        <v>1</v>
      </c>
    </row>
    <row r="122" spans="1:15" x14ac:dyDescent="0.2">
      <c r="A122" s="1">
        <v>68</v>
      </c>
      <c r="B122" s="1">
        <f t="shared" si="4"/>
        <v>1</v>
      </c>
      <c r="C122" s="1">
        <v>1</v>
      </c>
      <c r="E122" s="1">
        <v>131</v>
      </c>
      <c r="F122" s="1">
        <f t="shared" si="5"/>
        <v>1</v>
      </c>
      <c r="G122" s="1">
        <v>1</v>
      </c>
      <c r="I122" s="1">
        <v>65</v>
      </c>
      <c r="J122" s="1">
        <f t="shared" si="6"/>
        <v>0</v>
      </c>
      <c r="K122" s="1">
        <v>1</v>
      </c>
      <c r="M122" s="1">
        <v>29</v>
      </c>
      <c r="N122" s="1">
        <f t="shared" si="7"/>
        <v>1</v>
      </c>
      <c r="O122" s="1">
        <v>1</v>
      </c>
    </row>
    <row r="123" spans="1:15" x14ac:dyDescent="0.2">
      <c r="A123" s="1">
        <v>24</v>
      </c>
      <c r="B123" s="1">
        <f t="shared" si="4"/>
        <v>0</v>
      </c>
      <c r="C123" s="1">
        <v>1</v>
      </c>
      <c r="E123" s="1">
        <v>130</v>
      </c>
      <c r="F123" s="1">
        <f t="shared" si="5"/>
        <v>1</v>
      </c>
      <c r="G123" s="1">
        <v>1</v>
      </c>
      <c r="I123" s="1">
        <v>109</v>
      </c>
      <c r="J123" s="1">
        <f t="shared" si="6"/>
        <v>1</v>
      </c>
      <c r="K123" s="1">
        <v>1</v>
      </c>
      <c r="M123" s="1">
        <v>36</v>
      </c>
      <c r="N123" s="1">
        <f t="shared" si="7"/>
        <v>1</v>
      </c>
      <c r="O123" s="1">
        <v>1</v>
      </c>
    </row>
    <row r="124" spans="1:15" customFormat="1" hidden="1" x14ac:dyDescent="0.2">
      <c r="A124" s="1">
        <v>53</v>
      </c>
      <c r="B124" s="1">
        <f t="shared" si="4"/>
        <v>1</v>
      </c>
      <c r="C124" s="1">
        <v>0</v>
      </c>
      <c r="E124" s="1">
        <v>109</v>
      </c>
      <c r="F124" s="1">
        <f t="shared" si="5"/>
        <v>0</v>
      </c>
      <c r="G124" s="1">
        <v>0</v>
      </c>
      <c r="I124" s="1">
        <v>86</v>
      </c>
      <c r="J124" s="1">
        <f t="shared" si="6"/>
        <v>0</v>
      </c>
      <c r="K124" s="1">
        <v>0</v>
      </c>
      <c r="M124" s="1">
        <v>19</v>
      </c>
      <c r="N124" s="1">
        <f t="shared" si="7"/>
        <v>0</v>
      </c>
      <c r="O124" s="1">
        <v>0</v>
      </c>
    </row>
    <row r="125" spans="1:15" x14ac:dyDescent="0.2">
      <c r="A125" s="1">
        <v>29</v>
      </c>
      <c r="B125" s="1">
        <f t="shared" si="4"/>
        <v>0</v>
      </c>
      <c r="C125" s="1">
        <v>0</v>
      </c>
      <c r="E125" s="1">
        <v>134</v>
      </c>
      <c r="F125" s="1">
        <f t="shared" si="5"/>
        <v>1</v>
      </c>
      <c r="G125" s="1">
        <v>0</v>
      </c>
      <c r="I125" s="1">
        <v>67</v>
      </c>
      <c r="J125" s="1">
        <f t="shared" si="6"/>
        <v>0</v>
      </c>
      <c r="K125" s="1">
        <v>0</v>
      </c>
      <c r="M125" s="1">
        <v>32</v>
      </c>
      <c r="N125" s="1">
        <f t="shared" si="7"/>
        <v>1</v>
      </c>
      <c r="O125" s="1">
        <v>0</v>
      </c>
    </row>
    <row r="126" spans="1:15" x14ac:dyDescent="0.2">
      <c r="A126" s="1">
        <v>31</v>
      </c>
      <c r="B126" s="1">
        <f t="shared" si="4"/>
        <v>0</v>
      </c>
      <c r="C126" s="1">
        <v>1</v>
      </c>
      <c r="E126" s="1">
        <v>152</v>
      </c>
      <c r="F126" s="1">
        <f t="shared" si="5"/>
        <v>1</v>
      </c>
      <c r="G126" s="1">
        <v>1</v>
      </c>
      <c r="I126" s="1">
        <v>107</v>
      </c>
      <c r="J126" s="1">
        <f t="shared" si="6"/>
        <v>1</v>
      </c>
      <c r="K126" s="1">
        <v>1</v>
      </c>
      <c r="M126" s="1">
        <v>29</v>
      </c>
      <c r="N126" s="1">
        <f t="shared" si="7"/>
        <v>1</v>
      </c>
      <c r="O126" s="1">
        <v>1</v>
      </c>
    </row>
    <row r="127" spans="1:15" x14ac:dyDescent="0.2">
      <c r="A127" s="1">
        <v>60</v>
      </c>
      <c r="B127" s="1">
        <f t="shared" si="4"/>
        <v>1</v>
      </c>
      <c r="C127" s="1">
        <v>1</v>
      </c>
      <c r="E127" s="1">
        <v>123</v>
      </c>
      <c r="F127" s="1">
        <f t="shared" si="5"/>
        <v>0</v>
      </c>
      <c r="G127" s="1">
        <v>1</v>
      </c>
      <c r="I127" s="1">
        <v>115</v>
      </c>
      <c r="J127" s="1">
        <f t="shared" si="6"/>
        <v>1</v>
      </c>
      <c r="K127" s="1">
        <v>1</v>
      </c>
      <c r="M127" s="1">
        <v>38</v>
      </c>
      <c r="N127" s="1">
        <f t="shared" si="7"/>
        <v>1</v>
      </c>
      <c r="O127" s="1">
        <v>1</v>
      </c>
    </row>
    <row r="128" spans="1:15" x14ac:dyDescent="0.2">
      <c r="A128" s="1">
        <v>33</v>
      </c>
      <c r="B128" s="1">
        <f t="shared" si="4"/>
        <v>0</v>
      </c>
      <c r="C128" s="1">
        <v>1</v>
      </c>
      <c r="E128" s="1">
        <v>134</v>
      </c>
      <c r="F128" s="1">
        <f t="shared" si="5"/>
        <v>1</v>
      </c>
      <c r="G128" s="1">
        <v>1</v>
      </c>
      <c r="I128" s="1">
        <v>95</v>
      </c>
      <c r="J128" s="1">
        <f t="shared" si="6"/>
        <v>1</v>
      </c>
      <c r="K128" s="1">
        <v>1</v>
      </c>
      <c r="M128" s="1">
        <v>35</v>
      </c>
      <c r="N128" s="1">
        <f t="shared" si="7"/>
        <v>1</v>
      </c>
      <c r="O128" s="1">
        <v>1</v>
      </c>
    </row>
    <row r="129" spans="1:15" x14ac:dyDescent="0.2">
      <c r="A129" s="1">
        <v>43</v>
      </c>
      <c r="B129" s="1">
        <f t="shared" si="4"/>
        <v>0</v>
      </c>
      <c r="C129" s="1">
        <v>0</v>
      </c>
      <c r="E129" s="1">
        <v>149</v>
      </c>
      <c r="F129" s="1">
        <f t="shared" si="5"/>
        <v>1</v>
      </c>
      <c r="G129" s="1">
        <v>0</v>
      </c>
      <c r="I129" s="1">
        <v>81</v>
      </c>
      <c r="J129" s="1">
        <f t="shared" si="6"/>
        <v>0</v>
      </c>
      <c r="K129" s="1">
        <v>0</v>
      </c>
      <c r="M129" s="1">
        <v>33</v>
      </c>
      <c r="N129" s="1">
        <f t="shared" si="7"/>
        <v>1</v>
      </c>
      <c r="O129" s="1">
        <v>0</v>
      </c>
    </row>
    <row r="130" spans="1:15" customFormat="1" hidden="1" x14ac:dyDescent="0.2">
      <c r="A130" s="1">
        <v>49</v>
      </c>
      <c r="B130" s="1">
        <f t="shared" si="4"/>
        <v>1</v>
      </c>
      <c r="C130" s="1">
        <v>1</v>
      </c>
      <c r="E130" s="1">
        <v>103</v>
      </c>
      <c r="F130" s="1">
        <f t="shared" si="5"/>
        <v>0</v>
      </c>
      <c r="G130" s="1">
        <v>1</v>
      </c>
      <c r="I130" s="1">
        <v>96</v>
      </c>
      <c r="J130" s="1">
        <f t="shared" si="6"/>
        <v>1</v>
      </c>
      <c r="K130" s="1">
        <v>1</v>
      </c>
      <c r="M130" s="1">
        <v>23</v>
      </c>
      <c r="N130" s="1">
        <f t="shared" si="7"/>
        <v>0</v>
      </c>
      <c r="O130" s="1">
        <v>1</v>
      </c>
    </row>
    <row r="131" spans="1:15" customFormat="1" hidden="1" x14ac:dyDescent="0.2">
      <c r="A131" s="1">
        <v>50</v>
      </c>
      <c r="B131" s="1">
        <f t="shared" si="4"/>
        <v>1</v>
      </c>
      <c r="C131" s="1">
        <v>0</v>
      </c>
      <c r="E131" s="1">
        <v>106</v>
      </c>
      <c r="F131" s="1">
        <f t="shared" si="5"/>
        <v>0</v>
      </c>
      <c r="G131" s="1">
        <v>0</v>
      </c>
      <c r="I131" s="1">
        <v>67</v>
      </c>
      <c r="J131" s="1">
        <f t="shared" si="6"/>
        <v>0</v>
      </c>
      <c r="K131" s="1">
        <v>0</v>
      </c>
      <c r="M131" s="1">
        <v>18</v>
      </c>
      <c r="N131" s="1">
        <f t="shared" si="7"/>
        <v>0</v>
      </c>
      <c r="O131" s="1">
        <v>0</v>
      </c>
    </row>
    <row r="132" spans="1:15" x14ac:dyDescent="0.2">
      <c r="A132" s="1">
        <v>60</v>
      </c>
      <c r="B132" s="1">
        <f t="shared" si="4"/>
        <v>1</v>
      </c>
      <c r="C132" s="1">
        <v>1</v>
      </c>
      <c r="E132" s="1">
        <v>108</v>
      </c>
      <c r="F132" s="1">
        <f t="shared" si="5"/>
        <v>0</v>
      </c>
      <c r="G132" s="1">
        <v>1</v>
      </c>
      <c r="I132" s="1">
        <v>72</v>
      </c>
      <c r="J132" s="1">
        <f t="shared" si="6"/>
        <v>0</v>
      </c>
      <c r="K132" s="1">
        <v>1</v>
      </c>
      <c r="M132" s="1">
        <v>30</v>
      </c>
      <c r="N132" s="1">
        <f t="shared" si="7"/>
        <v>1</v>
      </c>
      <c r="O132" s="1">
        <v>1</v>
      </c>
    </row>
    <row r="133" spans="1:15" x14ac:dyDescent="0.2">
      <c r="A133" s="1">
        <v>37</v>
      </c>
      <c r="B133" s="1">
        <f t="shared" si="4"/>
        <v>0</v>
      </c>
      <c r="C133" s="1">
        <v>1</v>
      </c>
      <c r="E133" s="1">
        <v>139</v>
      </c>
      <c r="F133" s="1">
        <f t="shared" si="5"/>
        <v>1</v>
      </c>
      <c r="G133" s="1">
        <v>1</v>
      </c>
      <c r="I133" s="1">
        <v>80</v>
      </c>
      <c r="J133" s="1">
        <f t="shared" si="6"/>
        <v>0</v>
      </c>
      <c r="K133" s="1">
        <v>1</v>
      </c>
      <c r="M133" s="1">
        <v>39</v>
      </c>
      <c r="N133" s="1">
        <f t="shared" si="7"/>
        <v>1</v>
      </c>
      <c r="O133" s="1">
        <v>1</v>
      </c>
    </row>
    <row r="134" spans="1:15" x14ac:dyDescent="0.2">
      <c r="A134" s="1">
        <v>32</v>
      </c>
      <c r="B134" s="1">
        <f t="shared" si="4"/>
        <v>0</v>
      </c>
      <c r="C134" s="1">
        <v>0</v>
      </c>
      <c r="E134" s="1">
        <v>105</v>
      </c>
      <c r="F134" s="1">
        <f t="shared" si="5"/>
        <v>0</v>
      </c>
      <c r="G134" s="1">
        <v>0</v>
      </c>
      <c r="I134" s="1">
        <v>97</v>
      </c>
      <c r="J134" s="1">
        <f t="shared" si="6"/>
        <v>1</v>
      </c>
      <c r="K134" s="1">
        <v>0</v>
      </c>
      <c r="M134" s="1">
        <v>34</v>
      </c>
      <c r="N134" s="1">
        <f t="shared" si="7"/>
        <v>1</v>
      </c>
      <c r="O134" s="1">
        <v>0</v>
      </c>
    </row>
    <row r="135" spans="1:15" customFormat="1" hidden="1" x14ac:dyDescent="0.2">
      <c r="A135" s="1">
        <v>47</v>
      </c>
      <c r="B135" s="1">
        <f t="shared" si="4"/>
        <v>1</v>
      </c>
      <c r="C135" s="1">
        <v>0</v>
      </c>
      <c r="E135" s="1">
        <v>130</v>
      </c>
      <c r="F135" s="1">
        <f t="shared" si="5"/>
        <v>1</v>
      </c>
      <c r="G135" s="1">
        <v>0</v>
      </c>
      <c r="I135" s="1">
        <v>108</v>
      </c>
      <c r="J135" s="1">
        <f t="shared" si="6"/>
        <v>1</v>
      </c>
      <c r="K135" s="1">
        <v>0</v>
      </c>
      <c r="M135" s="1">
        <v>16</v>
      </c>
      <c r="N135" s="1">
        <f t="shared" si="7"/>
        <v>0</v>
      </c>
      <c r="O135" s="1">
        <v>0</v>
      </c>
    </row>
    <row r="136" spans="1:15" x14ac:dyDescent="0.2">
      <c r="A136" s="1">
        <v>36</v>
      </c>
      <c r="B136" s="1">
        <f t="shared" si="4"/>
        <v>0</v>
      </c>
      <c r="C136" s="1">
        <v>1</v>
      </c>
      <c r="E136" s="1">
        <v>106</v>
      </c>
      <c r="F136" s="1">
        <f t="shared" si="5"/>
        <v>0</v>
      </c>
      <c r="G136" s="1">
        <v>1</v>
      </c>
      <c r="I136" s="1">
        <v>107</v>
      </c>
      <c r="J136" s="1">
        <f t="shared" si="6"/>
        <v>1</v>
      </c>
      <c r="K136" s="1">
        <v>1</v>
      </c>
      <c r="M136" s="1">
        <v>33</v>
      </c>
      <c r="N136" s="1">
        <f t="shared" si="7"/>
        <v>1</v>
      </c>
      <c r="O136" s="1">
        <v>1</v>
      </c>
    </row>
    <row r="137" spans="1:15" x14ac:dyDescent="0.2">
      <c r="A137" s="1">
        <v>57</v>
      </c>
      <c r="B137" s="1">
        <f t="shared" si="4"/>
        <v>1</v>
      </c>
      <c r="C137" s="1">
        <v>1</v>
      </c>
      <c r="E137" s="1">
        <v>116</v>
      </c>
      <c r="F137" s="1">
        <f t="shared" si="5"/>
        <v>0</v>
      </c>
      <c r="G137" s="1">
        <v>1</v>
      </c>
      <c r="I137" s="1">
        <v>107</v>
      </c>
      <c r="J137" s="1">
        <f t="shared" si="6"/>
        <v>1</v>
      </c>
      <c r="K137" s="1">
        <v>1</v>
      </c>
      <c r="M137" s="1">
        <v>29</v>
      </c>
      <c r="N137" s="1">
        <f t="shared" si="7"/>
        <v>1</v>
      </c>
      <c r="O137" s="1">
        <v>1</v>
      </c>
    </row>
    <row r="138" spans="1:15" x14ac:dyDescent="0.2">
      <c r="A138" s="1">
        <v>60</v>
      </c>
      <c r="B138" s="1">
        <f t="shared" si="4"/>
        <v>1</v>
      </c>
      <c r="C138" s="1">
        <v>1</v>
      </c>
      <c r="E138" s="1">
        <v>126</v>
      </c>
      <c r="F138" s="1">
        <f t="shared" si="5"/>
        <v>0</v>
      </c>
      <c r="G138" s="1">
        <v>1</v>
      </c>
      <c r="I138" s="1">
        <v>68</v>
      </c>
      <c r="J138" s="1">
        <f t="shared" si="6"/>
        <v>0</v>
      </c>
      <c r="K138" s="1">
        <v>1</v>
      </c>
      <c r="M138" s="1">
        <v>35</v>
      </c>
      <c r="N138" s="1">
        <f t="shared" si="7"/>
        <v>1</v>
      </c>
      <c r="O138" s="1">
        <v>1</v>
      </c>
    </row>
    <row r="139" spans="1:15" customFormat="1" hidden="1" x14ac:dyDescent="0.2">
      <c r="A139" s="1">
        <v>43</v>
      </c>
      <c r="B139" s="1">
        <f t="shared" si="4"/>
        <v>0</v>
      </c>
      <c r="C139" s="1">
        <v>0</v>
      </c>
      <c r="E139" s="1">
        <v>107</v>
      </c>
      <c r="F139" s="1">
        <f t="shared" si="5"/>
        <v>0</v>
      </c>
      <c r="G139" s="1">
        <v>0</v>
      </c>
      <c r="I139" s="1">
        <v>110</v>
      </c>
      <c r="J139" s="1">
        <f t="shared" si="6"/>
        <v>1</v>
      </c>
      <c r="K139" s="1">
        <v>0</v>
      </c>
      <c r="M139" s="1">
        <v>27</v>
      </c>
      <c r="N139" s="1">
        <f t="shared" si="7"/>
        <v>0</v>
      </c>
      <c r="O139" s="1">
        <v>0</v>
      </c>
    </row>
    <row r="140" spans="1:15" x14ac:dyDescent="0.2">
      <c r="A140" s="1">
        <v>52</v>
      </c>
      <c r="B140" s="1">
        <f t="shared" si="4"/>
        <v>1</v>
      </c>
      <c r="C140" s="1">
        <v>0</v>
      </c>
      <c r="E140" s="1">
        <v>122</v>
      </c>
      <c r="F140" s="1">
        <f t="shared" si="5"/>
        <v>0</v>
      </c>
      <c r="G140" s="1">
        <v>0</v>
      </c>
      <c r="I140" s="1">
        <v>104</v>
      </c>
      <c r="J140" s="1">
        <f t="shared" si="6"/>
        <v>1</v>
      </c>
      <c r="K140" s="1">
        <v>0</v>
      </c>
      <c r="M140" s="1">
        <v>40</v>
      </c>
      <c r="N140" s="1">
        <f t="shared" si="7"/>
        <v>1</v>
      </c>
      <c r="O140" s="1">
        <v>0</v>
      </c>
    </row>
    <row r="141" spans="1:15" x14ac:dyDescent="0.2">
      <c r="A141" s="1">
        <v>29</v>
      </c>
      <c r="B141" s="1">
        <f t="shared" si="4"/>
        <v>0</v>
      </c>
      <c r="C141" s="1">
        <v>1</v>
      </c>
      <c r="E141" s="1">
        <v>132</v>
      </c>
      <c r="F141" s="1">
        <f t="shared" si="5"/>
        <v>1</v>
      </c>
      <c r="G141" s="1">
        <v>1</v>
      </c>
      <c r="I141" s="1">
        <v>103</v>
      </c>
      <c r="J141" s="1">
        <f t="shared" si="6"/>
        <v>1</v>
      </c>
      <c r="K141" s="1">
        <v>1</v>
      </c>
      <c r="M141" s="1">
        <v>34</v>
      </c>
      <c r="N141" s="1">
        <f t="shared" si="7"/>
        <v>1</v>
      </c>
      <c r="O141" s="1">
        <v>1</v>
      </c>
    </row>
    <row r="142" spans="1:15" x14ac:dyDescent="0.2">
      <c r="A142" s="1">
        <v>44</v>
      </c>
      <c r="B142" s="1">
        <f t="shared" si="4"/>
        <v>0</v>
      </c>
      <c r="C142" s="1">
        <v>1</v>
      </c>
      <c r="E142" s="1">
        <v>130</v>
      </c>
      <c r="F142" s="1">
        <f t="shared" si="5"/>
        <v>1</v>
      </c>
      <c r="G142" s="1">
        <v>1</v>
      </c>
      <c r="I142" s="1">
        <v>80</v>
      </c>
      <c r="J142" s="1">
        <f t="shared" si="6"/>
        <v>0</v>
      </c>
      <c r="K142" s="1">
        <v>1</v>
      </c>
      <c r="M142" s="1">
        <v>36</v>
      </c>
      <c r="N142" s="1">
        <f t="shared" si="7"/>
        <v>1</v>
      </c>
      <c r="O142" s="1">
        <v>1</v>
      </c>
    </row>
    <row r="143" spans="1:15" x14ac:dyDescent="0.2">
      <c r="A143" s="1">
        <v>53</v>
      </c>
      <c r="B143" s="1">
        <f t="shared" si="4"/>
        <v>1</v>
      </c>
      <c r="C143" s="1">
        <v>1</v>
      </c>
      <c r="E143" s="1">
        <v>113</v>
      </c>
      <c r="F143" s="1">
        <f t="shared" si="5"/>
        <v>0</v>
      </c>
      <c r="G143" s="1">
        <v>1</v>
      </c>
      <c r="I143" s="1">
        <v>81</v>
      </c>
      <c r="J143" s="1">
        <f t="shared" si="6"/>
        <v>0</v>
      </c>
      <c r="K143" s="1">
        <v>1</v>
      </c>
      <c r="M143" s="1">
        <v>39</v>
      </c>
      <c r="N143" s="1">
        <f t="shared" si="7"/>
        <v>1</v>
      </c>
      <c r="O143" s="1">
        <v>1</v>
      </c>
    </row>
    <row r="144" spans="1:15" x14ac:dyDescent="0.2">
      <c r="A144" s="1">
        <v>47</v>
      </c>
      <c r="B144" s="1">
        <f t="shared" si="4"/>
        <v>1</v>
      </c>
      <c r="C144" s="1">
        <v>0</v>
      </c>
      <c r="E144" s="1">
        <v>117</v>
      </c>
      <c r="F144" s="1">
        <f t="shared" si="5"/>
        <v>0</v>
      </c>
      <c r="G144" s="1">
        <v>0</v>
      </c>
      <c r="I144" s="1">
        <v>113</v>
      </c>
      <c r="J144" s="1">
        <f t="shared" si="6"/>
        <v>1</v>
      </c>
      <c r="K144" s="1">
        <v>0</v>
      </c>
      <c r="M144" s="1">
        <v>34</v>
      </c>
      <c r="N144" s="1">
        <f t="shared" si="7"/>
        <v>1</v>
      </c>
      <c r="O144" s="1">
        <v>0</v>
      </c>
    </row>
    <row r="145" spans="1:15" x14ac:dyDescent="0.2">
      <c r="A145" s="1">
        <v>33</v>
      </c>
      <c r="B145" s="1">
        <f t="shared" ref="B145:B195" si="8">+IF(A145&gt;B$1,1,0)</f>
        <v>0</v>
      </c>
      <c r="C145" s="1">
        <v>1</v>
      </c>
      <c r="E145" s="1">
        <v>119</v>
      </c>
      <c r="F145" s="1">
        <f t="shared" ref="F145:F195" si="9">+IF(E145&gt;F$1,1,0)</f>
        <v>0</v>
      </c>
      <c r="G145" s="1">
        <v>1</v>
      </c>
      <c r="I145" s="1">
        <v>111</v>
      </c>
      <c r="J145" s="1">
        <f t="shared" ref="J145:J195" si="10">+IF(I145&gt;J$1,1,0)</f>
        <v>1</v>
      </c>
      <c r="K145" s="1">
        <v>1</v>
      </c>
      <c r="M145" s="1">
        <v>40</v>
      </c>
      <c r="N145" s="1">
        <f t="shared" ref="N145:N195" si="11">+IF(M145&gt;N$1,1,0)</f>
        <v>1</v>
      </c>
      <c r="O145" s="1">
        <v>1</v>
      </c>
    </row>
    <row r="146" spans="1:15" x14ac:dyDescent="0.2">
      <c r="A146" s="1">
        <v>51</v>
      </c>
      <c r="B146" s="1">
        <f t="shared" si="8"/>
        <v>1</v>
      </c>
      <c r="C146" s="1">
        <v>1</v>
      </c>
      <c r="E146" s="1">
        <v>115</v>
      </c>
      <c r="F146" s="1">
        <f t="shared" si="9"/>
        <v>0</v>
      </c>
      <c r="G146" s="1">
        <v>1</v>
      </c>
      <c r="I146" s="1">
        <v>83</v>
      </c>
      <c r="J146" s="1">
        <f t="shared" si="10"/>
        <v>0</v>
      </c>
      <c r="K146" s="1">
        <v>1</v>
      </c>
      <c r="M146" s="1">
        <v>33</v>
      </c>
      <c r="N146" s="1">
        <f t="shared" si="11"/>
        <v>1</v>
      </c>
      <c r="O146" s="1">
        <v>1</v>
      </c>
    </row>
    <row r="147" spans="1:15" customFormat="1" hidden="1" x14ac:dyDescent="0.2">
      <c r="A147" s="1">
        <v>60</v>
      </c>
      <c r="B147" s="1">
        <f t="shared" si="8"/>
        <v>1</v>
      </c>
      <c r="C147" s="1">
        <v>1</v>
      </c>
      <c r="E147" s="1">
        <v>130</v>
      </c>
      <c r="F147" s="1">
        <f t="shared" si="9"/>
        <v>1</v>
      </c>
      <c r="G147" s="1">
        <v>1</v>
      </c>
      <c r="I147" s="1">
        <v>75</v>
      </c>
      <c r="J147" s="1">
        <f t="shared" si="10"/>
        <v>0</v>
      </c>
      <c r="K147" s="1">
        <v>1</v>
      </c>
      <c r="M147" s="1">
        <v>19</v>
      </c>
      <c r="N147" s="1">
        <f t="shared" si="11"/>
        <v>0</v>
      </c>
      <c r="O147" s="1">
        <v>1</v>
      </c>
    </row>
    <row r="148" spans="1:15" x14ac:dyDescent="0.2">
      <c r="A148" s="1">
        <v>34</v>
      </c>
      <c r="B148" s="1">
        <f t="shared" si="8"/>
        <v>0</v>
      </c>
      <c r="C148" s="1">
        <v>1</v>
      </c>
      <c r="E148" s="1">
        <v>156</v>
      </c>
      <c r="F148" s="1">
        <f t="shared" si="9"/>
        <v>1</v>
      </c>
      <c r="G148" s="1">
        <v>1</v>
      </c>
      <c r="I148" s="1">
        <v>82</v>
      </c>
      <c r="J148" s="1">
        <f t="shared" si="10"/>
        <v>0</v>
      </c>
      <c r="K148" s="1">
        <v>1</v>
      </c>
      <c r="M148" s="1">
        <v>33</v>
      </c>
      <c r="N148" s="1">
        <f t="shared" si="11"/>
        <v>1</v>
      </c>
      <c r="O148" s="1">
        <v>1</v>
      </c>
    </row>
    <row r="149" spans="1:15" x14ac:dyDescent="0.2">
      <c r="A149" s="1">
        <v>67</v>
      </c>
      <c r="B149" s="1">
        <f t="shared" si="8"/>
        <v>1</v>
      </c>
      <c r="C149" s="1">
        <v>1</v>
      </c>
      <c r="E149" s="1">
        <v>135</v>
      </c>
      <c r="F149" s="1">
        <f t="shared" si="9"/>
        <v>1</v>
      </c>
      <c r="G149" s="1">
        <v>1</v>
      </c>
      <c r="I149" s="1">
        <v>94</v>
      </c>
      <c r="J149" s="1">
        <f t="shared" si="10"/>
        <v>1</v>
      </c>
      <c r="K149" s="1">
        <v>1</v>
      </c>
      <c r="M149" s="1">
        <v>29</v>
      </c>
      <c r="N149" s="1">
        <f t="shared" si="11"/>
        <v>1</v>
      </c>
      <c r="O149" s="1">
        <v>1</v>
      </c>
    </row>
    <row r="150" spans="1:15" customFormat="1" hidden="1" x14ac:dyDescent="0.2">
      <c r="A150" s="1">
        <v>43</v>
      </c>
      <c r="B150" s="1">
        <f t="shared" si="8"/>
        <v>0</v>
      </c>
      <c r="C150" s="1">
        <v>0</v>
      </c>
      <c r="E150" s="1">
        <v>155</v>
      </c>
      <c r="F150" s="1">
        <f t="shared" si="9"/>
        <v>1</v>
      </c>
      <c r="G150" s="1">
        <v>0</v>
      </c>
      <c r="I150" s="1">
        <v>65</v>
      </c>
      <c r="J150" s="1">
        <f t="shared" si="10"/>
        <v>0</v>
      </c>
      <c r="K150" s="1">
        <v>0</v>
      </c>
      <c r="M150" s="1">
        <v>19</v>
      </c>
      <c r="N150" s="1">
        <f t="shared" si="11"/>
        <v>0</v>
      </c>
      <c r="O150" s="1">
        <v>0</v>
      </c>
    </row>
    <row r="151" spans="1:15" x14ac:dyDescent="0.2">
      <c r="A151" s="1">
        <v>55</v>
      </c>
      <c r="B151" s="1">
        <f t="shared" si="8"/>
        <v>1</v>
      </c>
      <c r="C151" s="1">
        <v>0</v>
      </c>
      <c r="E151" s="1">
        <v>123</v>
      </c>
      <c r="F151" s="1">
        <f t="shared" si="9"/>
        <v>0</v>
      </c>
      <c r="G151" s="1">
        <v>0</v>
      </c>
      <c r="I151" s="1">
        <v>85</v>
      </c>
      <c r="J151" s="1">
        <f t="shared" si="10"/>
        <v>0</v>
      </c>
      <c r="K151" s="1">
        <v>0</v>
      </c>
      <c r="M151" s="1">
        <v>30</v>
      </c>
      <c r="N151" s="1">
        <f t="shared" si="11"/>
        <v>1</v>
      </c>
      <c r="O151" s="1">
        <v>0</v>
      </c>
    </row>
    <row r="152" spans="1:15" customFormat="1" hidden="1" x14ac:dyDescent="0.2">
      <c r="A152" s="1">
        <v>26</v>
      </c>
      <c r="B152" s="1">
        <f t="shared" si="8"/>
        <v>0</v>
      </c>
      <c r="C152" s="1">
        <v>0</v>
      </c>
      <c r="E152" s="1">
        <v>144</v>
      </c>
      <c r="F152" s="1">
        <f t="shared" si="9"/>
        <v>1</v>
      </c>
      <c r="G152" s="1">
        <v>0</v>
      </c>
      <c r="I152" s="1">
        <v>97</v>
      </c>
      <c r="J152" s="1">
        <f t="shared" si="10"/>
        <v>1</v>
      </c>
      <c r="K152" s="1">
        <v>0</v>
      </c>
      <c r="M152" s="1">
        <v>27</v>
      </c>
      <c r="N152" s="1">
        <f t="shared" si="11"/>
        <v>0</v>
      </c>
      <c r="O152" s="1">
        <v>0</v>
      </c>
    </row>
    <row r="153" spans="1:15" customFormat="1" hidden="1" x14ac:dyDescent="0.2">
      <c r="A153" s="1">
        <v>48</v>
      </c>
      <c r="B153" s="1">
        <f t="shared" si="8"/>
        <v>1</v>
      </c>
      <c r="C153" s="1">
        <v>0</v>
      </c>
      <c r="E153" s="1">
        <v>120</v>
      </c>
      <c r="F153" s="1">
        <f t="shared" si="9"/>
        <v>0</v>
      </c>
      <c r="G153" s="1">
        <v>0</v>
      </c>
      <c r="I153" s="1">
        <v>82</v>
      </c>
      <c r="J153" s="1">
        <f t="shared" si="10"/>
        <v>0</v>
      </c>
      <c r="K153" s="1">
        <v>0</v>
      </c>
      <c r="M153" s="1">
        <v>17</v>
      </c>
      <c r="N153" s="1">
        <f t="shared" si="11"/>
        <v>0</v>
      </c>
      <c r="O153" s="1">
        <v>0</v>
      </c>
    </row>
    <row r="154" spans="1:15" x14ac:dyDescent="0.2">
      <c r="A154" s="1">
        <v>28</v>
      </c>
      <c r="B154" s="1">
        <f t="shared" si="8"/>
        <v>0</v>
      </c>
      <c r="C154" s="1">
        <v>0</v>
      </c>
      <c r="E154" s="1">
        <v>120</v>
      </c>
      <c r="F154" s="1">
        <f t="shared" si="9"/>
        <v>0</v>
      </c>
      <c r="G154" s="1">
        <v>0</v>
      </c>
      <c r="I154" s="1">
        <v>80</v>
      </c>
      <c r="J154" s="1">
        <f t="shared" si="10"/>
        <v>0</v>
      </c>
      <c r="K154" s="1">
        <v>0</v>
      </c>
      <c r="M154" s="1">
        <v>29</v>
      </c>
      <c r="N154" s="1">
        <f t="shared" si="11"/>
        <v>1</v>
      </c>
      <c r="O154" s="1">
        <v>0</v>
      </c>
    </row>
    <row r="155" spans="1:15" customFormat="1" hidden="1" x14ac:dyDescent="0.2">
      <c r="A155" s="1">
        <v>60</v>
      </c>
      <c r="B155" s="1">
        <f t="shared" si="8"/>
        <v>1</v>
      </c>
      <c r="C155" s="1">
        <v>1</v>
      </c>
      <c r="E155" s="1">
        <v>111</v>
      </c>
      <c r="F155" s="1">
        <f t="shared" si="9"/>
        <v>0</v>
      </c>
      <c r="G155" s="1">
        <v>1</v>
      </c>
      <c r="I155" s="1">
        <v>78</v>
      </c>
      <c r="J155" s="1">
        <f t="shared" si="10"/>
        <v>0</v>
      </c>
      <c r="K155" s="1">
        <v>1</v>
      </c>
      <c r="M155" s="1">
        <v>26</v>
      </c>
      <c r="N155" s="1">
        <f t="shared" si="11"/>
        <v>0</v>
      </c>
      <c r="O155" s="1">
        <v>1</v>
      </c>
    </row>
    <row r="156" spans="1:15" customFormat="1" hidden="1" x14ac:dyDescent="0.2">
      <c r="A156" s="1">
        <v>51</v>
      </c>
      <c r="B156" s="1">
        <f t="shared" si="8"/>
        <v>1</v>
      </c>
      <c r="C156" s="1">
        <v>1</v>
      </c>
      <c r="E156" s="1">
        <v>122</v>
      </c>
      <c r="F156" s="1">
        <f t="shared" si="9"/>
        <v>0</v>
      </c>
      <c r="G156" s="1">
        <v>1</v>
      </c>
      <c r="I156" s="1">
        <v>110</v>
      </c>
      <c r="J156" s="1">
        <f t="shared" si="10"/>
        <v>1</v>
      </c>
      <c r="K156" s="1">
        <v>1</v>
      </c>
      <c r="M156" s="1">
        <v>18</v>
      </c>
      <c r="N156" s="1">
        <f t="shared" si="11"/>
        <v>0</v>
      </c>
      <c r="O156" s="1">
        <v>1</v>
      </c>
    </row>
    <row r="157" spans="1:15" customFormat="1" hidden="1" x14ac:dyDescent="0.2">
      <c r="A157" s="1">
        <v>55</v>
      </c>
      <c r="B157" s="1">
        <f t="shared" si="8"/>
        <v>1</v>
      </c>
      <c r="C157" s="1">
        <v>1</v>
      </c>
      <c r="E157" s="1">
        <v>122</v>
      </c>
      <c r="F157" s="1">
        <f t="shared" si="9"/>
        <v>0</v>
      </c>
      <c r="G157" s="1">
        <v>1</v>
      </c>
      <c r="I157" s="1">
        <v>117</v>
      </c>
      <c r="J157" s="1">
        <f t="shared" si="10"/>
        <v>1</v>
      </c>
      <c r="K157" s="1">
        <v>1</v>
      </c>
      <c r="M157" s="1">
        <v>21</v>
      </c>
      <c r="N157" s="1">
        <f t="shared" si="11"/>
        <v>0</v>
      </c>
      <c r="O157" s="1">
        <v>1</v>
      </c>
    </row>
    <row r="158" spans="1:15" x14ac:dyDescent="0.2">
      <c r="A158" s="1">
        <v>55</v>
      </c>
      <c r="B158" s="1">
        <f t="shared" si="8"/>
        <v>1</v>
      </c>
      <c r="C158" s="1">
        <v>1</v>
      </c>
      <c r="E158" s="1">
        <v>110</v>
      </c>
      <c r="F158" s="1">
        <f t="shared" si="9"/>
        <v>0</v>
      </c>
      <c r="G158" s="1">
        <v>1</v>
      </c>
      <c r="I158" s="1">
        <v>69</v>
      </c>
      <c r="J158" s="1">
        <f t="shared" si="10"/>
        <v>0</v>
      </c>
      <c r="K158" s="1">
        <v>1</v>
      </c>
      <c r="M158" s="1">
        <v>38</v>
      </c>
      <c r="N158" s="1">
        <f t="shared" si="11"/>
        <v>1</v>
      </c>
      <c r="O158" s="1">
        <v>1</v>
      </c>
    </row>
    <row r="159" spans="1:15" x14ac:dyDescent="0.2">
      <c r="A159" s="1">
        <v>50</v>
      </c>
      <c r="B159" s="1">
        <f t="shared" si="8"/>
        <v>1</v>
      </c>
      <c r="C159" s="1">
        <v>0</v>
      </c>
      <c r="E159" s="1">
        <v>113</v>
      </c>
      <c r="F159" s="1">
        <f t="shared" si="9"/>
        <v>0</v>
      </c>
      <c r="G159" s="1">
        <v>0</v>
      </c>
      <c r="I159" s="1">
        <v>84</v>
      </c>
      <c r="J159" s="1">
        <f t="shared" si="10"/>
        <v>0</v>
      </c>
      <c r="K159" s="1">
        <v>0</v>
      </c>
      <c r="M159" s="1">
        <v>39</v>
      </c>
      <c r="N159" s="1">
        <f t="shared" si="11"/>
        <v>1</v>
      </c>
      <c r="O159" s="1">
        <v>0</v>
      </c>
    </row>
    <row r="160" spans="1:15" customFormat="1" hidden="1" x14ac:dyDescent="0.2">
      <c r="A160" s="1">
        <v>26</v>
      </c>
      <c r="B160" s="1">
        <f t="shared" si="8"/>
        <v>0</v>
      </c>
      <c r="C160" s="1">
        <v>1</v>
      </c>
      <c r="E160" s="1">
        <v>101</v>
      </c>
      <c r="F160" s="1">
        <f t="shared" si="9"/>
        <v>0</v>
      </c>
      <c r="G160" s="1">
        <v>1</v>
      </c>
      <c r="I160" s="1">
        <v>115</v>
      </c>
      <c r="J160" s="1">
        <f t="shared" si="10"/>
        <v>1</v>
      </c>
      <c r="K160" s="1">
        <v>1</v>
      </c>
      <c r="M160" s="1">
        <v>28</v>
      </c>
      <c r="N160" s="1">
        <f t="shared" si="11"/>
        <v>0</v>
      </c>
      <c r="O160" s="1">
        <v>1</v>
      </c>
    </row>
    <row r="161" spans="1:15" x14ac:dyDescent="0.2">
      <c r="A161" s="1">
        <v>60</v>
      </c>
      <c r="B161" s="1">
        <f t="shared" si="8"/>
        <v>1</v>
      </c>
      <c r="C161" s="1">
        <v>1</v>
      </c>
      <c r="E161" s="1">
        <v>137</v>
      </c>
      <c r="F161" s="1">
        <f t="shared" si="9"/>
        <v>1</v>
      </c>
      <c r="G161" s="1">
        <v>1</v>
      </c>
      <c r="I161" s="1">
        <v>64</v>
      </c>
      <c r="J161" s="1">
        <f t="shared" si="10"/>
        <v>0</v>
      </c>
      <c r="K161" s="1">
        <v>1</v>
      </c>
      <c r="M161" s="1">
        <v>39</v>
      </c>
      <c r="N161" s="1">
        <f t="shared" si="11"/>
        <v>1</v>
      </c>
      <c r="O161" s="1">
        <v>1</v>
      </c>
    </row>
    <row r="162" spans="1:15" customFormat="1" hidden="1" x14ac:dyDescent="0.2">
      <c r="A162" s="1">
        <v>35</v>
      </c>
      <c r="B162" s="1">
        <f t="shared" si="8"/>
        <v>0</v>
      </c>
      <c r="C162" s="1">
        <v>0</v>
      </c>
      <c r="E162" s="1">
        <v>121</v>
      </c>
      <c r="F162" s="1">
        <f t="shared" si="9"/>
        <v>0</v>
      </c>
      <c r="G162" s="1">
        <v>0</v>
      </c>
      <c r="I162" s="1">
        <v>71</v>
      </c>
      <c r="J162" s="1">
        <f t="shared" si="10"/>
        <v>0</v>
      </c>
      <c r="K162" s="1">
        <v>0</v>
      </c>
      <c r="M162" s="1">
        <v>20</v>
      </c>
      <c r="N162" s="1">
        <f t="shared" si="11"/>
        <v>0</v>
      </c>
      <c r="O162" s="1">
        <v>0</v>
      </c>
    </row>
    <row r="163" spans="1:15" customFormat="1" hidden="1" x14ac:dyDescent="0.2">
      <c r="A163" s="1">
        <v>34</v>
      </c>
      <c r="B163" s="1">
        <f t="shared" si="8"/>
        <v>0</v>
      </c>
      <c r="C163" s="1">
        <v>0</v>
      </c>
      <c r="E163" s="1">
        <v>132</v>
      </c>
      <c r="F163" s="1">
        <f t="shared" si="9"/>
        <v>1</v>
      </c>
      <c r="G163" s="1">
        <v>0</v>
      </c>
      <c r="I163" s="1">
        <v>67</v>
      </c>
      <c r="J163" s="1">
        <f t="shared" si="10"/>
        <v>0</v>
      </c>
      <c r="K163" s="1">
        <v>0</v>
      </c>
      <c r="M163" s="1">
        <v>20</v>
      </c>
      <c r="N163" s="1">
        <f t="shared" si="11"/>
        <v>0</v>
      </c>
      <c r="O163" s="1">
        <v>0</v>
      </c>
    </row>
    <row r="164" spans="1:15" customFormat="1" hidden="1" x14ac:dyDescent="0.2">
      <c r="A164" s="1">
        <v>53</v>
      </c>
      <c r="B164" s="1">
        <f t="shared" si="8"/>
        <v>1</v>
      </c>
      <c r="C164" s="1">
        <v>0</v>
      </c>
      <c r="E164" s="1">
        <v>136</v>
      </c>
      <c r="F164" s="1">
        <f t="shared" si="9"/>
        <v>1</v>
      </c>
      <c r="G164" s="1">
        <v>0</v>
      </c>
      <c r="I164" s="1">
        <v>69</v>
      </c>
      <c r="J164" s="1">
        <f t="shared" si="10"/>
        <v>0</v>
      </c>
      <c r="K164" s="1">
        <v>0</v>
      </c>
      <c r="M164" s="1">
        <v>21</v>
      </c>
      <c r="N164" s="1">
        <f t="shared" si="11"/>
        <v>0</v>
      </c>
      <c r="O164" s="1">
        <v>0</v>
      </c>
    </row>
    <row r="165" spans="1:15" customFormat="1" hidden="1" x14ac:dyDescent="0.2">
      <c r="A165" s="1">
        <v>28</v>
      </c>
      <c r="B165" s="1">
        <f t="shared" si="8"/>
        <v>0</v>
      </c>
      <c r="C165" s="1">
        <v>0</v>
      </c>
      <c r="E165" s="1">
        <v>152</v>
      </c>
      <c r="F165" s="1">
        <f t="shared" si="9"/>
        <v>1</v>
      </c>
      <c r="G165" s="1">
        <v>0</v>
      </c>
      <c r="I165" s="1">
        <v>94</v>
      </c>
      <c r="J165" s="1">
        <f t="shared" si="10"/>
        <v>1</v>
      </c>
      <c r="K165" s="1">
        <v>0</v>
      </c>
      <c r="M165" s="1">
        <v>28</v>
      </c>
      <c r="N165" s="1">
        <f t="shared" si="11"/>
        <v>0</v>
      </c>
      <c r="O165" s="1">
        <v>0</v>
      </c>
    </row>
    <row r="166" spans="1:15" x14ac:dyDescent="0.2">
      <c r="A166" s="1">
        <v>35</v>
      </c>
      <c r="B166" s="1">
        <f t="shared" si="8"/>
        <v>0</v>
      </c>
      <c r="C166" s="1">
        <v>0</v>
      </c>
      <c r="E166" s="1">
        <v>134</v>
      </c>
      <c r="F166" s="1">
        <f t="shared" si="9"/>
        <v>1</v>
      </c>
      <c r="G166" s="1">
        <v>0</v>
      </c>
      <c r="I166" s="1">
        <v>90</v>
      </c>
      <c r="J166" s="1">
        <f t="shared" si="10"/>
        <v>0</v>
      </c>
      <c r="K166" s="1">
        <v>0</v>
      </c>
      <c r="M166" s="1">
        <v>34</v>
      </c>
      <c r="N166" s="1">
        <f t="shared" si="11"/>
        <v>1</v>
      </c>
      <c r="O166" s="1">
        <v>0</v>
      </c>
    </row>
    <row r="167" spans="1:15" x14ac:dyDescent="0.2">
      <c r="A167" s="1">
        <v>31</v>
      </c>
      <c r="B167" s="1">
        <f t="shared" si="8"/>
        <v>0</v>
      </c>
      <c r="C167" s="1">
        <v>1</v>
      </c>
      <c r="E167" s="1">
        <v>109</v>
      </c>
      <c r="F167" s="1">
        <f t="shared" si="9"/>
        <v>0</v>
      </c>
      <c r="G167" s="1">
        <v>1</v>
      </c>
      <c r="I167" s="1">
        <v>104</v>
      </c>
      <c r="J167" s="1">
        <f t="shared" si="10"/>
        <v>1</v>
      </c>
      <c r="K167" s="1">
        <v>1</v>
      </c>
      <c r="M167" s="1">
        <v>37</v>
      </c>
      <c r="N167" s="1">
        <f t="shared" si="11"/>
        <v>1</v>
      </c>
      <c r="O167" s="1">
        <v>1</v>
      </c>
    </row>
    <row r="168" spans="1:15" x14ac:dyDescent="0.2">
      <c r="A168" s="1">
        <v>65</v>
      </c>
      <c r="B168" s="1">
        <f t="shared" si="8"/>
        <v>1</v>
      </c>
      <c r="C168" s="1">
        <v>1</v>
      </c>
      <c r="E168" s="1">
        <v>111</v>
      </c>
      <c r="F168" s="1">
        <f t="shared" si="9"/>
        <v>0</v>
      </c>
      <c r="G168" s="1">
        <v>1</v>
      </c>
      <c r="I168" s="1">
        <v>90</v>
      </c>
      <c r="J168" s="1">
        <f t="shared" si="10"/>
        <v>0</v>
      </c>
      <c r="K168" s="1">
        <v>1</v>
      </c>
      <c r="M168" s="1">
        <v>36</v>
      </c>
      <c r="N168" s="1">
        <f t="shared" si="11"/>
        <v>1</v>
      </c>
      <c r="O168" s="1">
        <v>1</v>
      </c>
    </row>
    <row r="169" spans="1:15" customFormat="1" hidden="1" x14ac:dyDescent="0.2">
      <c r="A169" s="1">
        <v>53</v>
      </c>
      <c r="B169" s="1">
        <f t="shared" si="8"/>
        <v>1</v>
      </c>
      <c r="C169" s="1">
        <v>0</v>
      </c>
      <c r="E169" s="1">
        <v>129</v>
      </c>
      <c r="F169" s="1">
        <f t="shared" si="9"/>
        <v>1</v>
      </c>
      <c r="G169" s="1">
        <v>0</v>
      </c>
      <c r="I169" s="1">
        <v>103</v>
      </c>
      <c r="J169" s="1">
        <f t="shared" si="10"/>
        <v>1</v>
      </c>
      <c r="K169" s="1">
        <v>0</v>
      </c>
      <c r="M169" s="1">
        <v>17</v>
      </c>
      <c r="N169" s="1">
        <f t="shared" si="11"/>
        <v>0</v>
      </c>
      <c r="O169" s="1">
        <v>0</v>
      </c>
    </row>
    <row r="170" spans="1:15" customFormat="1" hidden="1" x14ac:dyDescent="0.2">
      <c r="A170" s="1">
        <v>46</v>
      </c>
      <c r="B170" s="1">
        <f t="shared" si="8"/>
        <v>1</v>
      </c>
      <c r="C170" s="1">
        <v>1</v>
      </c>
      <c r="E170" s="1">
        <v>113</v>
      </c>
      <c r="F170" s="1">
        <f t="shared" si="9"/>
        <v>0</v>
      </c>
      <c r="G170" s="1">
        <v>1</v>
      </c>
      <c r="I170" s="1">
        <v>71</v>
      </c>
      <c r="J170" s="1">
        <f t="shared" si="10"/>
        <v>0</v>
      </c>
      <c r="K170" s="1">
        <v>1</v>
      </c>
      <c r="M170" s="1">
        <v>21</v>
      </c>
      <c r="N170" s="1">
        <f t="shared" si="11"/>
        <v>0</v>
      </c>
      <c r="O170" s="1">
        <v>1</v>
      </c>
    </row>
    <row r="171" spans="1:15" customFormat="1" hidden="1" x14ac:dyDescent="0.2">
      <c r="A171" s="1">
        <v>38</v>
      </c>
      <c r="B171" s="1">
        <f t="shared" si="8"/>
        <v>0</v>
      </c>
      <c r="C171" s="1">
        <v>0</v>
      </c>
      <c r="E171" s="1">
        <v>136</v>
      </c>
      <c r="F171" s="1">
        <f t="shared" si="9"/>
        <v>1</v>
      </c>
      <c r="G171" s="1">
        <v>0</v>
      </c>
      <c r="I171" s="1">
        <v>62</v>
      </c>
      <c r="J171" s="1">
        <f t="shared" si="10"/>
        <v>0</v>
      </c>
      <c r="K171" s="1">
        <v>0</v>
      </c>
      <c r="M171" s="1">
        <v>27</v>
      </c>
      <c r="N171" s="1">
        <f t="shared" si="11"/>
        <v>0</v>
      </c>
      <c r="O171" s="1">
        <v>0</v>
      </c>
    </row>
    <row r="172" spans="1:15" customFormat="1" hidden="1" x14ac:dyDescent="0.2">
      <c r="A172" s="1">
        <v>35</v>
      </c>
      <c r="B172" s="1">
        <f t="shared" si="8"/>
        <v>0</v>
      </c>
      <c r="C172" s="1">
        <v>1</v>
      </c>
      <c r="E172" s="1">
        <v>118</v>
      </c>
      <c r="F172" s="1">
        <f t="shared" si="9"/>
        <v>0</v>
      </c>
      <c r="G172" s="1">
        <v>1</v>
      </c>
      <c r="I172" s="1">
        <v>126</v>
      </c>
      <c r="J172" s="1">
        <f t="shared" si="10"/>
        <v>1</v>
      </c>
      <c r="K172" s="1">
        <v>1</v>
      </c>
      <c r="M172" s="1">
        <v>23</v>
      </c>
      <c r="N172" s="1">
        <f t="shared" si="11"/>
        <v>0</v>
      </c>
      <c r="O172" s="1">
        <v>1</v>
      </c>
    </row>
    <row r="173" spans="1:15" customFormat="1" hidden="1" x14ac:dyDescent="0.2">
      <c r="A173" s="1">
        <v>31</v>
      </c>
      <c r="B173" s="1">
        <f t="shared" si="8"/>
        <v>0</v>
      </c>
      <c r="C173" s="1">
        <v>0</v>
      </c>
      <c r="E173" s="1">
        <v>145</v>
      </c>
      <c r="F173" s="1">
        <f t="shared" si="9"/>
        <v>1</v>
      </c>
      <c r="G173" s="1">
        <v>0</v>
      </c>
      <c r="I173" s="1">
        <v>127</v>
      </c>
      <c r="J173" s="1">
        <f t="shared" si="10"/>
        <v>1</v>
      </c>
      <c r="K173" s="1">
        <v>0</v>
      </c>
      <c r="M173" s="1">
        <v>26</v>
      </c>
      <c r="N173" s="1">
        <f t="shared" si="11"/>
        <v>0</v>
      </c>
      <c r="O173" s="1">
        <v>0</v>
      </c>
    </row>
    <row r="174" spans="1:15" x14ac:dyDescent="0.2">
      <c r="A174" s="1">
        <v>43</v>
      </c>
      <c r="B174" s="1">
        <f t="shared" si="8"/>
        <v>0</v>
      </c>
      <c r="C174" s="1">
        <v>1</v>
      </c>
      <c r="E174" s="1">
        <v>126</v>
      </c>
      <c r="F174" s="1">
        <f t="shared" si="9"/>
        <v>0</v>
      </c>
      <c r="G174" s="1">
        <v>1</v>
      </c>
      <c r="I174" s="1">
        <v>84</v>
      </c>
      <c r="J174" s="1">
        <f t="shared" si="10"/>
        <v>0</v>
      </c>
      <c r="K174" s="1">
        <v>1</v>
      </c>
      <c r="M174" s="1">
        <v>40</v>
      </c>
      <c r="N174" s="1">
        <f t="shared" si="11"/>
        <v>1</v>
      </c>
      <c r="O174" s="1">
        <v>1</v>
      </c>
    </row>
    <row r="175" spans="1:15" customFormat="1" hidden="1" x14ac:dyDescent="0.2">
      <c r="A175" s="1">
        <v>51</v>
      </c>
      <c r="B175" s="1">
        <f t="shared" si="8"/>
        <v>1</v>
      </c>
      <c r="C175" s="1">
        <v>1</v>
      </c>
      <c r="E175" s="1">
        <v>108</v>
      </c>
      <c r="F175" s="1">
        <f t="shared" si="9"/>
        <v>0</v>
      </c>
      <c r="G175" s="1">
        <v>1</v>
      </c>
      <c r="I175" s="1">
        <v>116</v>
      </c>
      <c r="J175" s="1">
        <f t="shared" si="10"/>
        <v>1</v>
      </c>
      <c r="K175" s="1">
        <v>1</v>
      </c>
      <c r="M175" s="1">
        <v>17</v>
      </c>
      <c r="N175" s="1">
        <f t="shared" si="11"/>
        <v>0</v>
      </c>
      <c r="O175" s="1">
        <v>1</v>
      </c>
    </row>
    <row r="176" spans="1:15" x14ac:dyDescent="0.2">
      <c r="A176" s="1">
        <v>34</v>
      </c>
      <c r="B176" s="1">
        <f t="shared" si="8"/>
        <v>0</v>
      </c>
      <c r="C176" s="1">
        <v>1</v>
      </c>
      <c r="E176" s="1">
        <v>148</v>
      </c>
      <c r="F176" s="1">
        <f t="shared" si="9"/>
        <v>1</v>
      </c>
      <c r="G176" s="1">
        <v>1</v>
      </c>
      <c r="I176" s="1">
        <v>124</v>
      </c>
      <c r="J176" s="1">
        <f t="shared" si="10"/>
        <v>1</v>
      </c>
      <c r="K176" s="1">
        <v>1</v>
      </c>
      <c r="M176" s="1">
        <v>37</v>
      </c>
      <c r="N176" s="1">
        <f t="shared" si="11"/>
        <v>1</v>
      </c>
      <c r="O176" s="1">
        <v>1</v>
      </c>
    </row>
    <row r="177" spans="1:15" x14ac:dyDescent="0.2">
      <c r="A177" s="1">
        <v>60</v>
      </c>
      <c r="B177" s="1">
        <f t="shared" si="8"/>
        <v>1</v>
      </c>
      <c r="C177" s="1">
        <v>1</v>
      </c>
      <c r="E177" s="1">
        <v>131</v>
      </c>
      <c r="F177" s="1">
        <f t="shared" si="9"/>
        <v>1</v>
      </c>
      <c r="G177" s="1">
        <v>1</v>
      </c>
      <c r="I177" s="1">
        <v>110</v>
      </c>
      <c r="J177" s="1">
        <f t="shared" si="10"/>
        <v>1</v>
      </c>
      <c r="K177" s="1">
        <v>1</v>
      </c>
      <c r="M177" s="1">
        <v>39</v>
      </c>
      <c r="N177" s="1">
        <f t="shared" si="11"/>
        <v>1</v>
      </c>
      <c r="O177" s="1">
        <v>1</v>
      </c>
    </row>
    <row r="178" spans="1:15" customFormat="1" hidden="1" x14ac:dyDescent="0.2">
      <c r="A178" s="1">
        <v>70</v>
      </c>
      <c r="B178" s="1">
        <f t="shared" si="8"/>
        <v>1</v>
      </c>
      <c r="C178" s="1">
        <v>0</v>
      </c>
      <c r="E178" s="1">
        <v>105</v>
      </c>
      <c r="F178" s="1">
        <f t="shared" si="9"/>
        <v>0</v>
      </c>
      <c r="G178" s="1">
        <v>0</v>
      </c>
      <c r="I178" s="1">
        <v>108</v>
      </c>
      <c r="J178" s="1">
        <f t="shared" si="10"/>
        <v>1</v>
      </c>
      <c r="K178" s="1">
        <v>0</v>
      </c>
      <c r="M178" s="1">
        <v>23</v>
      </c>
      <c r="N178" s="1">
        <f t="shared" si="11"/>
        <v>0</v>
      </c>
      <c r="O178" s="1">
        <v>0</v>
      </c>
    </row>
    <row r="179" spans="1:15" customFormat="1" hidden="1" x14ac:dyDescent="0.2">
      <c r="A179" s="1">
        <v>36</v>
      </c>
      <c r="B179" s="1">
        <f t="shared" si="8"/>
        <v>0</v>
      </c>
      <c r="C179" s="1">
        <v>1</v>
      </c>
      <c r="E179" s="1">
        <v>145</v>
      </c>
      <c r="F179" s="1">
        <f t="shared" si="9"/>
        <v>1</v>
      </c>
      <c r="G179" s="1">
        <v>1</v>
      </c>
      <c r="I179" s="1">
        <v>125</v>
      </c>
      <c r="J179" s="1">
        <f t="shared" si="10"/>
        <v>1</v>
      </c>
      <c r="K179" s="1">
        <v>1</v>
      </c>
      <c r="M179" s="1">
        <v>24</v>
      </c>
      <c r="N179" s="1">
        <f t="shared" si="11"/>
        <v>0</v>
      </c>
      <c r="O179" s="1">
        <v>1</v>
      </c>
    </row>
    <row r="180" spans="1:15" customFormat="1" hidden="1" x14ac:dyDescent="0.2">
      <c r="A180" s="1">
        <v>29</v>
      </c>
      <c r="B180" s="1">
        <f t="shared" si="8"/>
        <v>0</v>
      </c>
      <c r="C180" s="1">
        <v>0</v>
      </c>
      <c r="E180" s="1">
        <v>121</v>
      </c>
      <c r="F180" s="1">
        <f t="shared" si="9"/>
        <v>0</v>
      </c>
      <c r="G180" s="1">
        <v>0</v>
      </c>
      <c r="I180" s="1">
        <v>79</v>
      </c>
      <c r="J180" s="1">
        <f t="shared" si="10"/>
        <v>0</v>
      </c>
      <c r="K180" s="1">
        <v>0</v>
      </c>
      <c r="M180" s="1">
        <v>19</v>
      </c>
      <c r="N180" s="1">
        <f t="shared" si="11"/>
        <v>0</v>
      </c>
      <c r="O180" s="1">
        <v>0</v>
      </c>
    </row>
    <row r="181" spans="1:15" x14ac:dyDescent="0.2">
      <c r="A181" s="1">
        <v>28</v>
      </c>
      <c r="B181" s="1">
        <f t="shared" si="8"/>
        <v>0</v>
      </c>
      <c r="C181" s="1">
        <v>1</v>
      </c>
      <c r="E181" s="1">
        <v>124</v>
      </c>
      <c r="F181" s="1">
        <f t="shared" si="9"/>
        <v>0</v>
      </c>
      <c r="G181" s="1">
        <v>1</v>
      </c>
      <c r="I181" s="1">
        <v>123</v>
      </c>
      <c r="J181" s="1">
        <f t="shared" si="10"/>
        <v>1</v>
      </c>
      <c r="K181" s="1">
        <v>1</v>
      </c>
      <c r="M181" s="1">
        <v>40</v>
      </c>
      <c r="N181" s="1">
        <f t="shared" si="11"/>
        <v>1</v>
      </c>
      <c r="O181" s="1">
        <v>1</v>
      </c>
    </row>
    <row r="182" spans="1:15" x14ac:dyDescent="0.2">
      <c r="A182" s="1">
        <v>57</v>
      </c>
      <c r="B182" s="1">
        <f t="shared" si="8"/>
        <v>1</v>
      </c>
      <c r="C182" s="1">
        <v>1</v>
      </c>
      <c r="E182" s="1">
        <v>156</v>
      </c>
      <c r="F182" s="1">
        <f t="shared" si="9"/>
        <v>1</v>
      </c>
      <c r="G182" s="1">
        <v>1</v>
      </c>
      <c r="I182" s="1">
        <v>113</v>
      </c>
      <c r="J182" s="1">
        <f t="shared" si="10"/>
        <v>1</v>
      </c>
      <c r="K182" s="1">
        <v>1</v>
      </c>
      <c r="M182" s="1">
        <v>38</v>
      </c>
      <c r="N182" s="1">
        <f t="shared" si="11"/>
        <v>1</v>
      </c>
      <c r="O182" s="1">
        <v>1</v>
      </c>
    </row>
    <row r="183" spans="1:15" customFormat="1" hidden="1" x14ac:dyDescent="0.2">
      <c r="A183" s="1">
        <v>63</v>
      </c>
      <c r="B183" s="1">
        <f t="shared" si="8"/>
        <v>1</v>
      </c>
      <c r="C183" s="1">
        <v>1</v>
      </c>
      <c r="E183" s="1">
        <v>141</v>
      </c>
      <c r="F183" s="1">
        <f t="shared" si="9"/>
        <v>1</v>
      </c>
      <c r="G183" s="1">
        <v>1</v>
      </c>
      <c r="I183" s="1">
        <v>128</v>
      </c>
      <c r="J183" s="1">
        <f t="shared" si="10"/>
        <v>1</v>
      </c>
      <c r="K183" s="1">
        <v>1</v>
      </c>
      <c r="M183" s="1">
        <v>17</v>
      </c>
      <c r="N183" s="1">
        <f t="shared" si="11"/>
        <v>0</v>
      </c>
      <c r="O183" s="1">
        <v>1</v>
      </c>
    </row>
    <row r="184" spans="1:15" x14ac:dyDescent="0.2">
      <c r="A184" s="1">
        <v>32</v>
      </c>
      <c r="B184" s="1">
        <f t="shared" si="8"/>
        <v>0</v>
      </c>
      <c r="C184" s="1">
        <v>1</v>
      </c>
      <c r="E184" s="1">
        <v>119</v>
      </c>
      <c r="F184" s="1">
        <f t="shared" si="9"/>
        <v>0</v>
      </c>
      <c r="G184" s="1">
        <v>1</v>
      </c>
      <c r="I184" s="1">
        <v>60</v>
      </c>
      <c r="J184" s="1">
        <f t="shared" si="10"/>
        <v>0</v>
      </c>
      <c r="K184" s="1">
        <v>1</v>
      </c>
      <c r="M184" s="1">
        <v>34</v>
      </c>
      <c r="N184" s="1">
        <f t="shared" si="11"/>
        <v>1</v>
      </c>
      <c r="O184" s="1">
        <v>1</v>
      </c>
    </row>
    <row r="185" spans="1:15" customFormat="1" hidden="1" x14ac:dyDescent="0.2">
      <c r="A185" s="1">
        <v>30</v>
      </c>
      <c r="B185" s="1">
        <f t="shared" si="8"/>
        <v>0</v>
      </c>
      <c r="C185" s="1">
        <v>0</v>
      </c>
      <c r="E185" s="1">
        <v>146</v>
      </c>
      <c r="F185" s="1">
        <f t="shared" si="9"/>
        <v>1</v>
      </c>
      <c r="G185" s="1">
        <v>0</v>
      </c>
      <c r="I185" s="1">
        <v>87</v>
      </c>
      <c r="J185" s="1">
        <f t="shared" si="10"/>
        <v>0</v>
      </c>
      <c r="K185" s="1">
        <v>0</v>
      </c>
      <c r="M185" s="1">
        <v>24</v>
      </c>
      <c r="N185" s="1">
        <f t="shared" si="11"/>
        <v>0</v>
      </c>
      <c r="O185" s="1">
        <v>0</v>
      </c>
    </row>
    <row r="186" spans="1:15" customFormat="1" hidden="1" x14ac:dyDescent="0.2">
      <c r="A186" s="1">
        <v>26</v>
      </c>
      <c r="B186" s="1">
        <f t="shared" si="8"/>
        <v>0</v>
      </c>
      <c r="C186" s="1">
        <v>0</v>
      </c>
      <c r="E186" s="1">
        <v>130</v>
      </c>
      <c r="F186" s="1">
        <f t="shared" si="9"/>
        <v>1</v>
      </c>
      <c r="G186" s="1">
        <v>0</v>
      </c>
      <c r="I186" s="1">
        <v>121</v>
      </c>
      <c r="J186" s="1">
        <f t="shared" si="10"/>
        <v>1</v>
      </c>
      <c r="K186" s="1">
        <v>0</v>
      </c>
      <c r="M186" s="1">
        <v>20</v>
      </c>
      <c r="N186" s="1">
        <f t="shared" si="11"/>
        <v>0</v>
      </c>
      <c r="O186" s="1">
        <v>0</v>
      </c>
    </row>
    <row r="187" spans="1:15" x14ac:dyDescent="0.2">
      <c r="A187" s="1">
        <v>34</v>
      </c>
      <c r="B187" s="1">
        <f t="shared" si="8"/>
        <v>0</v>
      </c>
      <c r="C187" s="1">
        <v>0</v>
      </c>
      <c r="E187" s="1">
        <v>145</v>
      </c>
      <c r="F187" s="1">
        <f t="shared" si="9"/>
        <v>1</v>
      </c>
      <c r="G187" s="1">
        <v>0</v>
      </c>
      <c r="I187" s="1">
        <v>63</v>
      </c>
      <c r="J187" s="1">
        <f t="shared" si="10"/>
        <v>0</v>
      </c>
      <c r="K187" s="1">
        <v>0</v>
      </c>
      <c r="M187" s="1">
        <v>31</v>
      </c>
      <c r="N187" s="1">
        <f t="shared" si="11"/>
        <v>1</v>
      </c>
      <c r="O187" s="1">
        <v>0</v>
      </c>
    </row>
    <row r="188" spans="1:15" customFormat="1" hidden="1" x14ac:dyDescent="0.2">
      <c r="A188" s="1">
        <v>33</v>
      </c>
      <c r="B188" s="1">
        <f t="shared" si="8"/>
        <v>0</v>
      </c>
      <c r="C188" s="1">
        <v>1</v>
      </c>
      <c r="E188" s="1">
        <v>141</v>
      </c>
      <c r="F188" s="1">
        <f t="shared" si="9"/>
        <v>1</v>
      </c>
      <c r="G188" s="1">
        <v>1</v>
      </c>
      <c r="I188" s="1">
        <v>116</v>
      </c>
      <c r="J188" s="1">
        <f t="shared" si="10"/>
        <v>1</v>
      </c>
      <c r="K188" s="1">
        <v>1</v>
      </c>
      <c r="M188" s="1">
        <v>27</v>
      </c>
      <c r="N188" s="1">
        <f t="shared" si="11"/>
        <v>0</v>
      </c>
      <c r="O188" s="1">
        <v>1</v>
      </c>
    </row>
    <row r="189" spans="1:15" x14ac:dyDescent="0.2">
      <c r="A189" s="1">
        <v>28</v>
      </c>
      <c r="B189" s="1">
        <f t="shared" si="8"/>
        <v>0</v>
      </c>
      <c r="C189" s="1">
        <v>1</v>
      </c>
      <c r="E189" s="1">
        <v>117</v>
      </c>
      <c r="F189" s="1">
        <f t="shared" si="9"/>
        <v>0</v>
      </c>
      <c r="G189" s="1">
        <v>1</v>
      </c>
      <c r="I189" s="1">
        <v>60</v>
      </c>
      <c r="J189" s="1">
        <f t="shared" si="10"/>
        <v>0</v>
      </c>
      <c r="K189" s="1">
        <v>1</v>
      </c>
      <c r="M189" s="1">
        <v>29</v>
      </c>
      <c r="N189" s="1">
        <f t="shared" si="11"/>
        <v>1</v>
      </c>
      <c r="O189" s="1">
        <v>1</v>
      </c>
    </row>
    <row r="190" spans="1:15" customFormat="1" hidden="1" x14ac:dyDescent="0.2">
      <c r="A190" s="1">
        <v>36</v>
      </c>
      <c r="B190" s="1">
        <f t="shared" si="8"/>
        <v>0</v>
      </c>
      <c r="C190" s="1">
        <v>0</v>
      </c>
      <c r="E190" s="1">
        <v>109</v>
      </c>
      <c r="F190" s="1">
        <f t="shared" si="9"/>
        <v>0</v>
      </c>
      <c r="G190" s="1">
        <v>0</v>
      </c>
      <c r="I190" s="1">
        <v>100</v>
      </c>
      <c r="J190" s="1">
        <f t="shared" si="10"/>
        <v>1</v>
      </c>
      <c r="K190" s="1">
        <v>0</v>
      </c>
      <c r="M190" s="1">
        <v>27</v>
      </c>
      <c r="N190" s="1">
        <f t="shared" si="11"/>
        <v>0</v>
      </c>
      <c r="O190" s="1">
        <v>0</v>
      </c>
    </row>
    <row r="191" spans="1:15" customFormat="1" hidden="1" x14ac:dyDescent="0.2">
      <c r="A191" s="1">
        <v>43</v>
      </c>
      <c r="B191" s="1">
        <f t="shared" si="8"/>
        <v>0</v>
      </c>
      <c r="C191" s="1">
        <v>0</v>
      </c>
      <c r="E191" s="1">
        <v>119</v>
      </c>
      <c r="F191" s="1">
        <f t="shared" si="9"/>
        <v>0</v>
      </c>
      <c r="G191" s="1">
        <v>0</v>
      </c>
      <c r="I191" s="1">
        <v>76</v>
      </c>
      <c r="J191" s="1">
        <f t="shared" si="10"/>
        <v>0</v>
      </c>
      <c r="K191" s="1">
        <v>0</v>
      </c>
      <c r="M191" s="1">
        <v>25</v>
      </c>
      <c r="N191" s="1">
        <f t="shared" si="11"/>
        <v>0</v>
      </c>
      <c r="O191" s="1">
        <v>0</v>
      </c>
    </row>
    <row r="192" spans="1:15" x14ac:dyDescent="0.2">
      <c r="A192" s="1">
        <v>63</v>
      </c>
      <c r="B192" s="1">
        <f t="shared" si="8"/>
        <v>1</v>
      </c>
      <c r="C192" s="1">
        <v>1</v>
      </c>
      <c r="E192" s="1">
        <v>107</v>
      </c>
      <c r="F192" s="1">
        <f t="shared" si="9"/>
        <v>0</v>
      </c>
      <c r="G192" s="1">
        <v>1</v>
      </c>
      <c r="I192" s="1">
        <v>113</v>
      </c>
      <c r="J192" s="1">
        <f t="shared" si="10"/>
        <v>1</v>
      </c>
      <c r="K192" s="1">
        <v>1</v>
      </c>
      <c r="M192" s="1">
        <v>40</v>
      </c>
      <c r="N192" s="1">
        <f t="shared" si="11"/>
        <v>1</v>
      </c>
      <c r="O192" s="1">
        <v>1</v>
      </c>
    </row>
    <row r="193" spans="1:15" customFormat="1" hidden="1" x14ac:dyDescent="0.2">
      <c r="A193" s="1">
        <v>47</v>
      </c>
      <c r="B193" s="1">
        <f t="shared" si="8"/>
        <v>1</v>
      </c>
      <c r="C193" s="1">
        <v>0</v>
      </c>
      <c r="E193" s="1">
        <v>116</v>
      </c>
      <c r="F193" s="1">
        <f t="shared" si="9"/>
        <v>0</v>
      </c>
      <c r="G193" s="1">
        <v>0</v>
      </c>
      <c r="I193" s="1">
        <v>61</v>
      </c>
      <c r="J193" s="1">
        <f t="shared" si="10"/>
        <v>0</v>
      </c>
      <c r="K193" s="1">
        <v>0</v>
      </c>
      <c r="M193" s="1">
        <v>27</v>
      </c>
      <c r="N193" s="1">
        <f t="shared" si="11"/>
        <v>0</v>
      </c>
      <c r="O193" s="1">
        <v>0</v>
      </c>
    </row>
    <row r="194" spans="1:15" customFormat="1" hidden="1" x14ac:dyDescent="0.2">
      <c r="A194" s="1">
        <v>70</v>
      </c>
      <c r="B194" s="1">
        <f t="shared" si="8"/>
        <v>1</v>
      </c>
      <c r="C194" s="1">
        <v>0</v>
      </c>
      <c r="E194" s="1">
        <v>110</v>
      </c>
      <c r="F194" s="1">
        <f t="shared" si="9"/>
        <v>0</v>
      </c>
      <c r="G194" s="1">
        <v>0</v>
      </c>
      <c r="I194" s="1">
        <v>88</v>
      </c>
      <c r="J194" s="1">
        <f t="shared" si="10"/>
        <v>0</v>
      </c>
      <c r="K194" s="1">
        <v>0</v>
      </c>
      <c r="M194" s="1">
        <v>24</v>
      </c>
      <c r="N194" s="1">
        <f t="shared" si="11"/>
        <v>0</v>
      </c>
      <c r="O194" s="1">
        <v>0</v>
      </c>
    </row>
    <row r="195" spans="1:15" x14ac:dyDescent="0.2">
      <c r="A195" s="1">
        <v>29</v>
      </c>
      <c r="B195" s="1">
        <f t="shared" si="8"/>
        <v>0</v>
      </c>
      <c r="C195" s="1">
        <v>0</v>
      </c>
      <c r="E195" s="1">
        <v>144</v>
      </c>
      <c r="F195" s="1">
        <f t="shared" si="9"/>
        <v>1</v>
      </c>
      <c r="G195" s="1">
        <v>0</v>
      </c>
      <c r="I195" s="1">
        <v>85</v>
      </c>
      <c r="J195" s="1">
        <f t="shared" si="10"/>
        <v>0</v>
      </c>
      <c r="K195" s="1">
        <v>0</v>
      </c>
      <c r="M195" s="1">
        <v>32</v>
      </c>
      <c r="N195" s="1">
        <f t="shared" si="11"/>
        <v>1</v>
      </c>
      <c r="O195" s="1">
        <v>0</v>
      </c>
    </row>
  </sheetData>
  <autoFilter ref="A15:T195" xr:uid="{DF06EC22-2FB2-3D42-A182-216F65DDFA05}">
    <filterColumn colId="13">
      <filters>
        <filter val="1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4180-C902-E845-A40F-9721A4B835FF}">
  <sheetPr filterMode="1"/>
  <dimension ref="A1:O104"/>
  <sheetViews>
    <sheetView zoomScale="136" workbookViewId="0">
      <selection activeCell="B10" sqref="B10"/>
    </sheetView>
  </sheetViews>
  <sheetFormatPr baseColWidth="10" defaultRowHeight="15" x14ac:dyDescent="0.2"/>
  <cols>
    <col min="1" max="16384" width="10.83203125" style="2"/>
  </cols>
  <sheetData>
    <row r="1" spans="1:15" x14ac:dyDescent="0.2">
      <c r="A1" s="39" t="s">
        <v>5</v>
      </c>
      <c r="B1" s="40">
        <f>+AVERAGE(A16:A5857)</f>
        <v>45.865168539325843</v>
      </c>
      <c r="E1" s="39" t="s">
        <v>5</v>
      </c>
      <c r="F1" s="41">
        <f>+AVERAGE(E16:E195)</f>
        <v>127</v>
      </c>
      <c r="I1" s="39" t="s">
        <v>5</v>
      </c>
      <c r="J1" s="40">
        <f>+AVERAGE(I16:I195)</f>
        <v>90.640449438202253</v>
      </c>
      <c r="M1" s="39" t="s">
        <v>5</v>
      </c>
      <c r="N1" s="40">
        <f>+AVERAGE(M16:M195)</f>
        <v>35.235955056179776</v>
      </c>
    </row>
    <row r="2" spans="1:15" x14ac:dyDescent="0.2">
      <c r="A2" s="5"/>
      <c r="E2" s="5"/>
      <c r="I2" s="5"/>
      <c r="M2" s="5"/>
    </row>
    <row r="3" spans="1:15" x14ac:dyDescent="0.2">
      <c r="A3" s="26" t="s">
        <v>6</v>
      </c>
      <c r="B3" s="19">
        <f>+COUNTIF(B$16:B$5857,0)</f>
        <v>44</v>
      </c>
      <c r="C3" s="20"/>
      <c r="E3" s="26" t="s">
        <v>6</v>
      </c>
      <c r="F3" s="19">
        <f>+COUNTIF(F$16:F$5857,0)</f>
        <v>47</v>
      </c>
      <c r="G3" s="20"/>
      <c r="I3" s="26" t="s">
        <v>6</v>
      </c>
      <c r="J3" s="19">
        <f>+COUNTIF(J$16:J$5857,0)</f>
        <v>46</v>
      </c>
      <c r="K3" s="20"/>
      <c r="M3" s="26" t="s">
        <v>6</v>
      </c>
      <c r="N3" s="19">
        <f>+COUNTIF(N$16:N$5857,0)</f>
        <v>45</v>
      </c>
      <c r="O3" s="36"/>
    </row>
    <row r="4" spans="1:15" x14ac:dyDescent="0.2">
      <c r="A4" s="21" t="s">
        <v>7</v>
      </c>
      <c r="B4" s="2">
        <f>+COUNTIFS(B$16:B$5857,0,C$16:C$5857,0)</f>
        <v>17</v>
      </c>
      <c r="C4" s="35">
        <f>B4/B3</f>
        <v>0.38636363636363635</v>
      </c>
      <c r="E4" s="21" t="s">
        <v>7</v>
      </c>
      <c r="F4" s="2">
        <f>+COUNTIFS(F$16:F$5857,0,G$16:G$5857,0)</f>
        <v>10</v>
      </c>
      <c r="G4" s="35">
        <f>F4/F3</f>
        <v>0.21276595744680851</v>
      </c>
      <c r="I4" s="21" t="s">
        <v>7</v>
      </c>
      <c r="J4" s="2">
        <f>+COUNTIFS(J$16:J$5857,0,K$16:K$5857,0)</f>
        <v>15</v>
      </c>
      <c r="K4" s="35">
        <f>J4/J3</f>
        <v>0.32608695652173914</v>
      </c>
      <c r="M4" s="27" t="s">
        <v>7</v>
      </c>
      <c r="N4" s="2">
        <f>+COUNTIFS(N$16:N$5857,0,O$16:O$5857,0)</f>
        <v>17</v>
      </c>
      <c r="O4" s="35">
        <f>N4/N3</f>
        <v>0.37777777777777777</v>
      </c>
    </row>
    <row r="5" spans="1:15" x14ac:dyDescent="0.2">
      <c r="A5" s="21" t="s">
        <v>8</v>
      </c>
      <c r="B5" s="2">
        <f>+COUNTIFS(B$16:B$5857,0,C$16:C$5857,1)</f>
        <v>27</v>
      </c>
      <c r="C5" s="35">
        <f>1-C4</f>
        <v>0.61363636363636365</v>
      </c>
      <c r="E5" s="21" t="s">
        <v>8</v>
      </c>
      <c r="F5" s="2">
        <f>+COUNTIFS(F$16:F$5857,0,G$16:G$5857,1)</f>
        <v>37</v>
      </c>
      <c r="G5" s="35">
        <f>1-G4</f>
        <v>0.78723404255319152</v>
      </c>
      <c r="I5" s="21" t="s">
        <v>8</v>
      </c>
      <c r="J5" s="2">
        <f>+COUNTIFS(J$16:J$5857,0,K$16:K$5857,1)</f>
        <v>31</v>
      </c>
      <c r="K5" s="35">
        <f>1-K4</f>
        <v>0.67391304347826086</v>
      </c>
      <c r="M5" s="21" t="s">
        <v>8</v>
      </c>
      <c r="N5" s="2">
        <f>+COUNTIFS(N$16:N$5857,0,O$16:O$5857,1)</f>
        <v>28</v>
      </c>
      <c r="O5" s="35">
        <f>1-O4</f>
        <v>0.62222222222222223</v>
      </c>
    </row>
    <row r="6" spans="1:15" x14ac:dyDescent="0.2">
      <c r="A6" s="22"/>
      <c r="B6" s="23" t="s">
        <v>9</v>
      </c>
      <c r="C6" s="33">
        <f>1-C4^2-C5^2</f>
        <v>0.47417355371900821</v>
      </c>
      <c r="E6" s="22"/>
      <c r="F6" s="23" t="s">
        <v>9</v>
      </c>
      <c r="G6" s="33">
        <f>1-G4^2-G5^2</f>
        <v>0.33499320959710266</v>
      </c>
      <c r="H6" s="5"/>
      <c r="I6" s="25"/>
      <c r="J6" s="23" t="s">
        <v>9</v>
      </c>
      <c r="K6" s="33">
        <f>1-K4^2-K5^2</f>
        <v>0.43950850661625712</v>
      </c>
      <c r="L6" s="5"/>
      <c r="M6" s="25"/>
      <c r="N6" s="23" t="s">
        <v>9</v>
      </c>
      <c r="O6" s="33">
        <f>1-O4^2-O5^2</f>
        <v>0.47012345679012352</v>
      </c>
    </row>
    <row r="8" spans="1:15" x14ac:dyDescent="0.2">
      <c r="A8" s="26" t="s">
        <v>10</v>
      </c>
      <c r="B8" s="19">
        <f>+COUNTIF(B$16:B$5857,1)</f>
        <v>45</v>
      </c>
      <c r="C8" s="36"/>
      <c r="E8" s="26" t="s">
        <v>10</v>
      </c>
      <c r="F8" s="19">
        <f>+COUNTIF(F$16:F$5857,1)</f>
        <v>42</v>
      </c>
      <c r="G8" s="20"/>
      <c r="I8" s="26" t="s">
        <v>10</v>
      </c>
      <c r="J8" s="19">
        <f>+COUNTIF(J$16:J$5857,1)</f>
        <v>43</v>
      </c>
      <c r="K8" s="20"/>
      <c r="M8" s="26" t="s">
        <v>10</v>
      </c>
      <c r="N8" s="19">
        <f>+COUNTIF(N$16:N$5857,1)</f>
        <v>44</v>
      </c>
      <c r="O8" s="20"/>
    </row>
    <row r="9" spans="1:15" x14ac:dyDescent="0.2">
      <c r="A9" s="21" t="s">
        <v>11</v>
      </c>
      <c r="B9" s="2">
        <f>+COUNTIFS(B$16:B$5857,1,C$16:C$5857,0)</f>
        <v>4</v>
      </c>
      <c r="C9" s="35">
        <f>B9/B8</f>
        <v>8.8888888888888892E-2</v>
      </c>
      <c r="E9" s="21" t="s">
        <v>11</v>
      </c>
      <c r="F9" s="2">
        <f>+COUNTIFS(F$16:F$5857,1,G$16:G$5857,0)</f>
        <v>11</v>
      </c>
      <c r="G9" s="35">
        <f>F9/F8</f>
        <v>0.26190476190476192</v>
      </c>
      <c r="I9" s="21" t="s">
        <v>11</v>
      </c>
      <c r="J9" s="2">
        <f>+COUNTIFS(J$16:J$5857,1,K$16:K$5857,0)</f>
        <v>6</v>
      </c>
      <c r="K9" s="35">
        <f>J9/J8</f>
        <v>0.13953488372093023</v>
      </c>
      <c r="M9" s="21" t="s">
        <v>11</v>
      </c>
      <c r="N9" s="2">
        <f>+COUNTIFS(N$16:N$5857,1,O$16:O$5857,0)</f>
        <v>4</v>
      </c>
      <c r="O9" s="35">
        <f>N9/N8</f>
        <v>9.0909090909090912E-2</v>
      </c>
    </row>
    <row r="10" spans="1:15" x14ac:dyDescent="0.2">
      <c r="A10" s="21" t="s">
        <v>12</v>
      </c>
      <c r="B10" s="2">
        <f>+COUNTIFS(B$16:B$5857,1,C$16:C$5857,1)</f>
        <v>41</v>
      </c>
      <c r="C10" s="35">
        <f>B10/B8</f>
        <v>0.91111111111111109</v>
      </c>
      <c r="E10" s="21" t="s">
        <v>12</v>
      </c>
      <c r="F10" s="2">
        <f>+COUNTIFS(F$16:F$5857,1,G$16:G$5857,1)</f>
        <v>31</v>
      </c>
      <c r="G10" s="35">
        <f>F10/F8</f>
        <v>0.73809523809523814</v>
      </c>
      <c r="I10" s="21" t="s">
        <v>12</v>
      </c>
      <c r="J10" s="2">
        <f>+COUNTIFS(J$16:J$5857,1,K$16:K$5857,1)</f>
        <v>37</v>
      </c>
      <c r="K10" s="35">
        <f>J10/J8</f>
        <v>0.86046511627906974</v>
      </c>
      <c r="M10" s="21" t="s">
        <v>12</v>
      </c>
      <c r="N10" s="2">
        <f>+COUNTIFS(N$16:N$5857,1,O$16:O$5857,1)</f>
        <v>40</v>
      </c>
      <c r="O10" s="35">
        <f>N10/N8</f>
        <v>0.90909090909090906</v>
      </c>
    </row>
    <row r="11" spans="1:15" x14ac:dyDescent="0.2">
      <c r="A11" s="22"/>
      <c r="B11" s="23" t="s">
        <v>9</v>
      </c>
      <c r="C11" s="33">
        <f>1-C9^2-C10^2</f>
        <v>0.16197530864197529</v>
      </c>
      <c r="E11" s="22"/>
      <c r="F11" s="23" t="s">
        <v>9</v>
      </c>
      <c r="G11" s="33">
        <f>1-G9^2-G10^2</f>
        <v>0.38662131519274379</v>
      </c>
      <c r="H11" s="5"/>
      <c r="I11" s="25"/>
      <c r="J11" s="23" t="s">
        <v>9</v>
      </c>
      <c r="K11" s="33">
        <f>1-K9^2-K10^2</f>
        <v>0.24012979989183347</v>
      </c>
      <c r="L11" s="5"/>
      <c r="M11" s="25"/>
      <c r="N11" s="23" t="s">
        <v>9</v>
      </c>
      <c r="O11" s="33">
        <f>1-O9^2-O10^2</f>
        <v>0.16528925619834722</v>
      </c>
    </row>
    <row r="13" spans="1:15" s="5" customFormat="1" x14ac:dyDescent="0.2">
      <c r="A13" s="31" t="s">
        <v>13</v>
      </c>
      <c r="B13" s="32"/>
      <c r="C13" s="42">
        <f>+((B3*C6)+(B8*C11))/(B3+B8)</f>
        <v>0.31632050845533988</v>
      </c>
      <c r="E13" s="31" t="s">
        <v>13</v>
      </c>
      <c r="F13" s="32"/>
      <c r="G13" s="42">
        <f>+((F3*G6)+(F8*G11))/(F3+F8)</f>
        <v>0.35935703470965241</v>
      </c>
      <c r="I13" s="31" t="s">
        <v>13</v>
      </c>
      <c r="J13" s="32"/>
      <c r="K13" s="42">
        <f>+((J3*K6)+(J8*K11))/(J3+J8)</f>
        <v>0.34317946853591763</v>
      </c>
      <c r="M13" s="31" t="s">
        <v>13</v>
      </c>
      <c r="N13" s="32"/>
      <c r="O13" s="42">
        <f>+((N3*O6)+(N8*O11))/(N3+N8)</f>
        <v>0.31941890818295321</v>
      </c>
    </row>
    <row r="15" spans="1:15" s="5" customFormat="1" x14ac:dyDescent="0.2">
      <c r="A15" s="5" t="s">
        <v>1</v>
      </c>
      <c r="B15" s="5" t="s">
        <v>15</v>
      </c>
      <c r="C15" s="5" t="s">
        <v>0</v>
      </c>
      <c r="E15" s="5" t="s">
        <v>2</v>
      </c>
      <c r="F15" s="5" t="s">
        <v>15</v>
      </c>
      <c r="G15" s="5" t="s">
        <v>0</v>
      </c>
      <c r="I15" s="5" t="s">
        <v>3</v>
      </c>
      <c r="J15" s="5" t="s">
        <v>15</v>
      </c>
      <c r="K15" s="5" t="s">
        <v>0</v>
      </c>
      <c r="M15" s="5" t="s">
        <v>4</v>
      </c>
      <c r="N15" s="5" t="s">
        <v>15</v>
      </c>
      <c r="O15" s="5" t="s">
        <v>0</v>
      </c>
    </row>
    <row r="16" spans="1:15" hidden="1" x14ac:dyDescent="0.2">
      <c r="A16" s="2">
        <v>37</v>
      </c>
      <c r="B16" s="2">
        <f t="shared" ref="B16:B79" si="0">+IF(A16&gt;B$1,1,0)</f>
        <v>0</v>
      </c>
      <c r="C16" s="2">
        <v>1</v>
      </c>
      <c r="E16" s="2">
        <v>137</v>
      </c>
      <c r="F16" s="2">
        <f t="shared" ref="F16:F79" si="1">+IF(E16&gt;F$1,1,0)</f>
        <v>1</v>
      </c>
      <c r="G16" s="2">
        <v>1</v>
      </c>
      <c r="I16" s="2">
        <v>66</v>
      </c>
      <c r="J16" s="2">
        <f t="shared" ref="J16:J79" si="2">+IF(I16&gt;J$1,1,0)</f>
        <v>0</v>
      </c>
      <c r="K16" s="2">
        <v>1</v>
      </c>
      <c r="M16" s="2">
        <v>39</v>
      </c>
      <c r="N16" s="2">
        <f t="shared" ref="N16:N79" si="3">+IF(M16&gt;N$1,1,0)</f>
        <v>1</v>
      </c>
      <c r="O16" s="2">
        <v>1</v>
      </c>
    </row>
    <row r="17" spans="1:15" x14ac:dyDescent="0.2">
      <c r="A17" s="2">
        <v>64</v>
      </c>
      <c r="B17" s="2">
        <f t="shared" si="0"/>
        <v>1</v>
      </c>
      <c r="C17" s="2">
        <v>1</v>
      </c>
      <c r="E17" s="2">
        <v>152</v>
      </c>
      <c r="F17" s="2">
        <f t="shared" si="1"/>
        <v>1</v>
      </c>
      <c r="G17" s="2">
        <v>1</v>
      </c>
      <c r="I17" s="2">
        <v>92</v>
      </c>
      <c r="J17" s="2">
        <f t="shared" si="2"/>
        <v>1</v>
      </c>
      <c r="K17" s="2">
        <v>1</v>
      </c>
      <c r="M17" s="2">
        <v>30</v>
      </c>
      <c r="N17" s="2">
        <f t="shared" si="3"/>
        <v>0</v>
      </c>
      <c r="O17" s="2">
        <v>1</v>
      </c>
    </row>
    <row r="18" spans="1:15" x14ac:dyDescent="0.2">
      <c r="A18" s="2">
        <v>65</v>
      </c>
      <c r="B18" s="2">
        <f t="shared" si="0"/>
        <v>1</v>
      </c>
      <c r="C18" s="2">
        <v>1</v>
      </c>
      <c r="E18" s="2">
        <v>136</v>
      </c>
      <c r="F18" s="2">
        <f t="shared" si="1"/>
        <v>1</v>
      </c>
      <c r="G18" s="2">
        <v>1</v>
      </c>
      <c r="I18" s="2">
        <v>92</v>
      </c>
      <c r="J18" s="2">
        <f t="shared" si="2"/>
        <v>1</v>
      </c>
      <c r="K18" s="2">
        <v>1</v>
      </c>
      <c r="M18" s="2">
        <v>33</v>
      </c>
      <c r="N18" s="2">
        <f t="shared" si="3"/>
        <v>0</v>
      </c>
      <c r="O18" s="2">
        <v>1</v>
      </c>
    </row>
    <row r="19" spans="1:15" x14ac:dyDescent="0.2">
      <c r="A19" s="2">
        <v>55</v>
      </c>
      <c r="B19" s="2">
        <f t="shared" si="0"/>
        <v>1</v>
      </c>
      <c r="C19" s="2">
        <v>1</v>
      </c>
      <c r="E19" s="2">
        <v>142</v>
      </c>
      <c r="F19" s="2">
        <f t="shared" si="1"/>
        <v>1</v>
      </c>
      <c r="G19" s="2">
        <v>1</v>
      </c>
      <c r="I19" s="2">
        <v>88</v>
      </c>
      <c r="J19" s="2">
        <f t="shared" si="2"/>
        <v>0</v>
      </c>
      <c r="K19" s="2">
        <v>1</v>
      </c>
      <c r="M19" s="2">
        <v>36</v>
      </c>
      <c r="N19" s="2">
        <f t="shared" si="3"/>
        <v>1</v>
      </c>
      <c r="O19" s="2">
        <v>1</v>
      </c>
    </row>
    <row r="20" spans="1:15" x14ac:dyDescent="0.2">
      <c r="A20" s="2">
        <v>61</v>
      </c>
      <c r="B20" s="2">
        <f t="shared" si="0"/>
        <v>1</v>
      </c>
      <c r="C20" s="2">
        <v>1</v>
      </c>
      <c r="E20" s="2">
        <v>139</v>
      </c>
      <c r="F20" s="2">
        <f t="shared" si="1"/>
        <v>1</v>
      </c>
      <c r="G20" s="2">
        <v>1</v>
      </c>
      <c r="I20" s="2">
        <v>117</v>
      </c>
      <c r="J20" s="2">
        <f t="shared" si="2"/>
        <v>1</v>
      </c>
      <c r="K20" s="2">
        <v>1</v>
      </c>
      <c r="M20" s="2">
        <v>38</v>
      </c>
      <c r="N20" s="2">
        <f t="shared" si="3"/>
        <v>1</v>
      </c>
      <c r="O20" s="2">
        <v>1</v>
      </c>
    </row>
    <row r="21" spans="1:15" hidden="1" x14ac:dyDescent="0.2">
      <c r="A21" s="2">
        <v>33</v>
      </c>
      <c r="B21" s="2">
        <f t="shared" si="0"/>
        <v>0</v>
      </c>
      <c r="C21" s="2">
        <v>1</v>
      </c>
      <c r="E21" s="2">
        <v>152</v>
      </c>
      <c r="F21" s="2">
        <f t="shared" si="1"/>
        <v>1</v>
      </c>
      <c r="G21" s="2">
        <v>1</v>
      </c>
      <c r="I21" s="2">
        <v>74</v>
      </c>
      <c r="J21" s="2">
        <f t="shared" si="2"/>
        <v>0</v>
      </c>
      <c r="K21" s="2">
        <v>1</v>
      </c>
      <c r="M21" s="2">
        <v>41</v>
      </c>
      <c r="N21" s="2">
        <f t="shared" si="3"/>
        <v>1</v>
      </c>
      <c r="O21" s="2">
        <v>1</v>
      </c>
    </row>
    <row r="22" spans="1:15" x14ac:dyDescent="0.2">
      <c r="A22" s="2">
        <v>62</v>
      </c>
      <c r="B22" s="2">
        <f t="shared" si="0"/>
        <v>1</v>
      </c>
      <c r="C22" s="2">
        <v>1</v>
      </c>
      <c r="E22" s="2">
        <v>126</v>
      </c>
      <c r="F22" s="2">
        <f t="shared" si="1"/>
        <v>0</v>
      </c>
      <c r="G22" s="2">
        <v>1</v>
      </c>
      <c r="I22" s="2">
        <v>120</v>
      </c>
      <c r="J22" s="2">
        <f t="shared" si="2"/>
        <v>1</v>
      </c>
      <c r="K22" s="2">
        <v>1</v>
      </c>
      <c r="M22" s="2">
        <v>37</v>
      </c>
      <c r="N22" s="2">
        <f t="shared" si="3"/>
        <v>1</v>
      </c>
      <c r="O22" s="2">
        <v>1</v>
      </c>
    </row>
    <row r="23" spans="1:15" hidden="1" x14ac:dyDescent="0.2">
      <c r="A23" s="2">
        <v>25</v>
      </c>
      <c r="B23" s="2">
        <f t="shared" si="0"/>
        <v>0</v>
      </c>
      <c r="C23" s="2">
        <v>0</v>
      </c>
      <c r="E23" s="2">
        <v>148</v>
      </c>
      <c r="F23" s="2">
        <f t="shared" si="1"/>
        <v>1</v>
      </c>
      <c r="G23" s="2">
        <v>0</v>
      </c>
      <c r="I23" s="2">
        <v>70</v>
      </c>
      <c r="J23" s="2">
        <f t="shared" si="2"/>
        <v>0</v>
      </c>
      <c r="K23" s="2">
        <v>0</v>
      </c>
      <c r="M23" s="2">
        <v>34</v>
      </c>
      <c r="N23" s="2">
        <f t="shared" si="3"/>
        <v>0</v>
      </c>
      <c r="O23" s="2">
        <v>0</v>
      </c>
    </row>
    <row r="24" spans="1:15" hidden="1" x14ac:dyDescent="0.2">
      <c r="A24" s="2">
        <v>37</v>
      </c>
      <c r="B24" s="2">
        <f t="shared" si="0"/>
        <v>0</v>
      </c>
      <c r="C24" s="2">
        <v>0</v>
      </c>
      <c r="E24" s="2">
        <v>133</v>
      </c>
      <c r="F24" s="2">
        <f t="shared" si="1"/>
        <v>1</v>
      </c>
      <c r="G24" s="2">
        <v>0</v>
      </c>
      <c r="I24" s="2">
        <v>66</v>
      </c>
      <c r="J24" s="2">
        <f t="shared" si="2"/>
        <v>0</v>
      </c>
      <c r="K24" s="2">
        <v>0</v>
      </c>
      <c r="M24" s="2">
        <v>33</v>
      </c>
      <c r="N24" s="2">
        <f t="shared" si="3"/>
        <v>0</v>
      </c>
      <c r="O24" s="2">
        <v>0</v>
      </c>
    </row>
    <row r="25" spans="1:15" hidden="1" x14ac:dyDescent="0.2">
      <c r="A25" s="2">
        <v>41</v>
      </c>
      <c r="B25" s="2">
        <f t="shared" si="0"/>
        <v>0</v>
      </c>
      <c r="C25" s="2">
        <v>0</v>
      </c>
      <c r="E25" s="2">
        <v>142</v>
      </c>
      <c r="F25" s="2">
        <f t="shared" si="1"/>
        <v>1</v>
      </c>
      <c r="G25" s="2">
        <v>0</v>
      </c>
      <c r="I25" s="2">
        <v>94</v>
      </c>
      <c r="J25" s="2">
        <f t="shared" si="2"/>
        <v>1</v>
      </c>
      <c r="K25" s="2">
        <v>0</v>
      </c>
      <c r="M25" s="2">
        <v>30</v>
      </c>
      <c r="N25" s="2">
        <f t="shared" si="3"/>
        <v>0</v>
      </c>
      <c r="O25" s="2">
        <v>0</v>
      </c>
    </row>
    <row r="26" spans="1:15" hidden="1" x14ac:dyDescent="0.2">
      <c r="A26" s="2">
        <v>43</v>
      </c>
      <c r="B26" s="2">
        <f t="shared" si="0"/>
        <v>0</v>
      </c>
      <c r="C26" s="2">
        <v>1</v>
      </c>
      <c r="E26" s="2">
        <v>149</v>
      </c>
      <c r="F26" s="2">
        <f t="shared" si="1"/>
        <v>1</v>
      </c>
      <c r="G26" s="2">
        <v>1</v>
      </c>
      <c r="I26" s="2">
        <v>83</v>
      </c>
      <c r="J26" s="2">
        <f t="shared" si="2"/>
        <v>0</v>
      </c>
      <c r="K26" s="2">
        <v>1</v>
      </c>
      <c r="M26" s="2">
        <v>36</v>
      </c>
      <c r="N26" s="2">
        <f t="shared" si="3"/>
        <v>1</v>
      </c>
      <c r="O26" s="2">
        <v>1</v>
      </c>
    </row>
    <row r="27" spans="1:15" x14ac:dyDescent="0.2">
      <c r="A27" s="2">
        <v>60</v>
      </c>
      <c r="B27" s="2">
        <f t="shared" si="0"/>
        <v>1</v>
      </c>
      <c r="C27" s="2">
        <v>1</v>
      </c>
      <c r="E27" s="2">
        <v>155</v>
      </c>
      <c r="F27" s="2">
        <f t="shared" si="1"/>
        <v>1</v>
      </c>
      <c r="G27" s="2">
        <v>1</v>
      </c>
      <c r="I27" s="2">
        <v>69</v>
      </c>
      <c r="J27" s="2">
        <f t="shared" si="2"/>
        <v>0</v>
      </c>
      <c r="K27" s="2">
        <v>1</v>
      </c>
      <c r="M27" s="2">
        <v>37</v>
      </c>
      <c r="N27" s="2">
        <f t="shared" si="3"/>
        <v>1</v>
      </c>
      <c r="O27" s="2">
        <v>1</v>
      </c>
    </row>
    <row r="28" spans="1:15" x14ac:dyDescent="0.2">
      <c r="A28" s="2">
        <v>47</v>
      </c>
      <c r="B28" s="2">
        <f t="shared" si="0"/>
        <v>1</v>
      </c>
      <c r="C28" s="2">
        <v>1</v>
      </c>
      <c r="E28" s="2">
        <v>115</v>
      </c>
      <c r="F28" s="2">
        <f t="shared" si="1"/>
        <v>0</v>
      </c>
      <c r="G28" s="2">
        <v>1</v>
      </c>
      <c r="I28" s="2">
        <v>104</v>
      </c>
      <c r="J28" s="2">
        <f t="shared" si="2"/>
        <v>1</v>
      </c>
      <c r="K28" s="2">
        <v>1</v>
      </c>
      <c r="M28" s="2">
        <v>40</v>
      </c>
      <c r="N28" s="2">
        <f t="shared" si="3"/>
        <v>1</v>
      </c>
      <c r="O28" s="2">
        <v>1</v>
      </c>
    </row>
    <row r="29" spans="1:15" hidden="1" x14ac:dyDescent="0.2">
      <c r="A29" s="2">
        <v>28</v>
      </c>
      <c r="B29" s="2">
        <f t="shared" si="0"/>
        <v>0</v>
      </c>
      <c r="C29" s="2">
        <v>0</v>
      </c>
      <c r="E29" s="2">
        <v>140</v>
      </c>
      <c r="F29" s="2">
        <f t="shared" si="1"/>
        <v>1</v>
      </c>
      <c r="G29" s="2">
        <v>0</v>
      </c>
      <c r="I29" s="2">
        <v>80</v>
      </c>
      <c r="J29" s="2">
        <f t="shared" si="2"/>
        <v>0</v>
      </c>
      <c r="K29" s="2">
        <v>0</v>
      </c>
      <c r="M29" s="2">
        <v>31</v>
      </c>
      <c r="N29" s="2">
        <f t="shared" si="3"/>
        <v>0</v>
      </c>
      <c r="O29" s="2">
        <v>0</v>
      </c>
    </row>
    <row r="30" spans="1:15" x14ac:dyDescent="0.2">
      <c r="A30" s="2">
        <v>60</v>
      </c>
      <c r="B30" s="2">
        <f t="shared" si="0"/>
        <v>1</v>
      </c>
      <c r="C30" s="2">
        <v>1</v>
      </c>
      <c r="E30" s="2">
        <v>127</v>
      </c>
      <c r="F30" s="2">
        <f t="shared" si="1"/>
        <v>0</v>
      </c>
      <c r="G30" s="2">
        <v>1</v>
      </c>
      <c r="I30" s="2">
        <v>103</v>
      </c>
      <c r="J30" s="2">
        <f t="shared" si="2"/>
        <v>1</v>
      </c>
      <c r="K30" s="2">
        <v>1</v>
      </c>
      <c r="M30" s="2">
        <v>31</v>
      </c>
      <c r="N30" s="2">
        <f t="shared" si="3"/>
        <v>0</v>
      </c>
      <c r="O30" s="2">
        <v>1</v>
      </c>
    </row>
    <row r="31" spans="1:15" hidden="1" x14ac:dyDescent="0.2">
      <c r="A31" s="2">
        <v>44</v>
      </c>
      <c r="B31" s="2">
        <f t="shared" si="0"/>
        <v>0</v>
      </c>
      <c r="C31" s="2">
        <v>1</v>
      </c>
      <c r="E31" s="2">
        <v>102</v>
      </c>
      <c r="F31" s="2">
        <f t="shared" si="1"/>
        <v>0</v>
      </c>
      <c r="G31" s="2">
        <v>1</v>
      </c>
      <c r="I31" s="2">
        <v>103</v>
      </c>
      <c r="J31" s="2">
        <f t="shared" si="2"/>
        <v>1</v>
      </c>
      <c r="K31" s="2">
        <v>1</v>
      </c>
      <c r="M31" s="2">
        <v>33</v>
      </c>
      <c r="N31" s="2">
        <f t="shared" si="3"/>
        <v>0</v>
      </c>
      <c r="O31" s="2">
        <v>1</v>
      </c>
    </row>
    <row r="32" spans="1:15" hidden="1" x14ac:dyDescent="0.2">
      <c r="A32" s="2">
        <v>30</v>
      </c>
      <c r="B32" s="2">
        <f t="shared" si="0"/>
        <v>0</v>
      </c>
      <c r="C32" s="2">
        <v>1</v>
      </c>
      <c r="E32" s="2">
        <v>122</v>
      </c>
      <c r="F32" s="2">
        <f t="shared" si="1"/>
        <v>0</v>
      </c>
      <c r="G32" s="2">
        <v>1</v>
      </c>
      <c r="I32" s="2">
        <v>84</v>
      </c>
      <c r="J32" s="2">
        <f t="shared" si="2"/>
        <v>0</v>
      </c>
      <c r="K32" s="2">
        <v>1</v>
      </c>
      <c r="M32" s="2">
        <v>39</v>
      </c>
      <c r="N32" s="2">
        <f t="shared" si="3"/>
        <v>1</v>
      </c>
      <c r="O32" s="2">
        <v>1</v>
      </c>
    </row>
    <row r="33" spans="1:15" hidden="1" x14ac:dyDescent="0.2">
      <c r="A33" s="2">
        <v>31</v>
      </c>
      <c r="B33" s="2">
        <f t="shared" si="0"/>
        <v>0</v>
      </c>
      <c r="C33" s="2">
        <v>1</v>
      </c>
      <c r="E33" s="2">
        <v>112</v>
      </c>
      <c r="F33" s="2">
        <f t="shared" si="1"/>
        <v>0</v>
      </c>
      <c r="G33" s="2">
        <v>1</v>
      </c>
      <c r="I33" s="2">
        <v>83</v>
      </c>
      <c r="J33" s="2">
        <f t="shared" si="2"/>
        <v>0</v>
      </c>
      <c r="K33" s="2">
        <v>1</v>
      </c>
      <c r="M33" s="2">
        <v>35</v>
      </c>
      <c r="N33" s="2">
        <f t="shared" si="3"/>
        <v>0</v>
      </c>
      <c r="O33" s="2">
        <v>1</v>
      </c>
    </row>
    <row r="34" spans="1:15" x14ac:dyDescent="0.2">
      <c r="A34" s="2">
        <v>56</v>
      </c>
      <c r="B34" s="2">
        <f t="shared" si="0"/>
        <v>1</v>
      </c>
      <c r="C34" s="2">
        <v>1</v>
      </c>
      <c r="E34" s="2">
        <v>103</v>
      </c>
      <c r="F34" s="2">
        <f t="shared" si="1"/>
        <v>0</v>
      </c>
      <c r="G34" s="2">
        <v>1</v>
      </c>
      <c r="I34" s="2">
        <v>75</v>
      </c>
      <c r="J34" s="2">
        <f t="shared" si="2"/>
        <v>0</v>
      </c>
      <c r="K34" s="2">
        <v>1</v>
      </c>
      <c r="M34" s="2">
        <v>38</v>
      </c>
      <c r="N34" s="2">
        <f t="shared" si="3"/>
        <v>1</v>
      </c>
      <c r="O34" s="2">
        <v>1</v>
      </c>
    </row>
    <row r="35" spans="1:15" x14ac:dyDescent="0.2">
      <c r="A35" s="2">
        <v>65</v>
      </c>
      <c r="B35" s="2">
        <f t="shared" si="0"/>
        <v>1</v>
      </c>
      <c r="C35" s="2">
        <v>1</v>
      </c>
      <c r="E35" s="2">
        <v>132</v>
      </c>
      <c r="F35" s="2">
        <f t="shared" si="1"/>
        <v>1</v>
      </c>
      <c r="G35" s="2">
        <v>1</v>
      </c>
      <c r="I35" s="2">
        <v>102</v>
      </c>
      <c r="J35" s="2">
        <f t="shared" si="2"/>
        <v>1</v>
      </c>
      <c r="K35" s="2">
        <v>1</v>
      </c>
      <c r="M35" s="2">
        <v>40</v>
      </c>
      <c r="N35" s="2">
        <f t="shared" si="3"/>
        <v>1</v>
      </c>
      <c r="O35" s="2">
        <v>1</v>
      </c>
    </row>
    <row r="36" spans="1:15" hidden="1" x14ac:dyDescent="0.2">
      <c r="A36" s="2">
        <v>32</v>
      </c>
      <c r="B36" s="2">
        <f t="shared" si="0"/>
        <v>0</v>
      </c>
      <c r="C36" s="2">
        <v>0</v>
      </c>
      <c r="E36" s="2">
        <v>111</v>
      </c>
      <c r="F36" s="2">
        <f t="shared" si="1"/>
        <v>0</v>
      </c>
      <c r="G36" s="2">
        <v>0</v>
      </c>
      <c r="I36" s="2">
        <v>69</v>
      </c>
      <c r="J36" s="2">
        <f t="shared" si="2"/>
        <v>0</v>
      </c>
      <c r="K36" s="2">
        <v>0</v>
      </c>
      <c r="M36" s="2">
        <v>36</v>
      </c>
      <c r="N36" s="2">
        <f t="shared" si="3"/>
        <v>1</v>
      </c>
      <c r="O36" s="2">
        <v>0</v>
      </c>
    </row>
    <row r="37" spans="1:15" x14ac:dyDescent="0.2">
      <c r="A37" s="2">
        <v>55</v>
      </c>
      <c r="B37" s="2">
        <f t="shared" si="0"/>
        <v>1</v>
      </c>
      <c r="C37" s="2">
        <v>1</v>
      </c>
      <c r="E37" s="2">
        <v>133</v>
      </c>
      <c r="F37" s="2">
        <f t="shared" si="1"/>
        <v>1</v>
      </c>
      <c r="G37" s="2">
        <v>1</v>
      </c>
      <c r="I37" s="2">
        <v>93</v>
      </c>
      <c r="J37" s="2">
        <f t="shared" si="2"/>
        <v>1</v>
      </c>
      <c r="K37" s="2">
        <v>1</v>
      </c>
      <c r="M37" s="2">
        <v>40</v>
      </c>
      <c r="N37" s="2">
        <f t="shared" si="3"/>
        <v>1</v>
      </c>
      <c r="O37" s="2">
        <v>1</v>
      </c>
    </row>
    <row r="38" spans="1:15" hidden="1" x14ac:dyDescent="0.2">
      <c r="A38" s="2">
        <v>35</v>
      </c>
      <c r="B38" s="2">
        <f t="shared" si="0"/>
        <v>0</v>
      </c>
      <c r="C38" s="2">
        <v>0</v>
      </c>
      <c r="E38" s="2">
        <v>112</v>
      </c>
      <c r="F38" s="2">
        <f t="shared" si="1"/>
        <v>0</v>
      </c>
      <c r="G38" s="2">
        <v>0</v>
      </c>
      <c r="I38" s="2">
        <v>86</v>
      </c>
      <c r="J38" s="2">
        <f t="shared" si="2"/>
        <v>0</v>
      </c>
      <c r="K38" s="2">
        <v>0</v>
      </c>
      <c r="M38" s="2">
        <v>35</v>
      </c>
      <c r="N38" s="2">
        <f t="shared" si="3"/>
        <v>0</v>
      </c>
      <c r="O38" s="2">
        <v>0</v>
      </c>
    </row>
    <row r="39" spans="1:15" hidden="1" x14ac:dyDescent="0.2">
      <c r="A39" s="2">
        <v>23</v>
      </c>
      <c r="B39" s="2">
        <f t="shared" si="0"/>
        <v>0</v>
      </c>
      <c r="C39" s="2">
        <v>1</v>
      </c>
      <c r="E39" s="2">
        <v>111</v>
      </c>
      <c r="F39" s="2">
        <f t="shared" si="1"/>
        <v>0</v>
      </c>
      <c r="G39" s="2">
        <v>1</v>
      </c>
      <c r="I39" s="2">
        <v>127</v>
      </c>
      <c r="J39" s="2">
        <f t="shared" si="2"/>
        <v>1</v>
      </c>
      <c r="K39" s="2">
        <v>1</v>
      </c>
      <c r="M39" s="2">
        <v>40</v>
      </c>
      <c r="N39" s="2">
        <f t="shared" si="3"/>
        <v>1</v>
      </c>
      <c r="O39" s="2">
        <v>1</v>
      </c>
    </row>
    <row r="40" spans="1:15" x14ac:dyDescent="0.2">
      <c r="A40" s="2">
        <v>62</v>
      </c>
      <c r="B40" s="2">
        <f t="shared" si="0"/>
        <v>1</v>
      </c>
      <c r="C40" s="2">
        <v>1</v>
      </c>
      <c r="E40" s="2">
        <v>114</v>
      </c>
      <c r="F40" s="2">
        <f t="shared" si="1"/>
        <v>0</v>
      </c>
      <c r="G40" s="2">
        <v>1</v>
      </c>
      <c r="I40" s="2">
        <v>124</v>
      </c>
      <c r="J40" s="2">
        <f t="shared" si="2"/>
        <v>1</v>
      </c>
      <c r="K40" s="2">
        <v>1</v>
      </c>
      <c r="M40" s="2">
        <v>35</v>
      </c>
      <c r="N40" s="2">
        <f t="shared" si="3"/>
        <v>0</v>
      </c>
      <c r="O40" s="2">
        <v>1</v>
      </c>
    </row>
    <row r="41" spans="1:15" hidden="1" x14ac:dyDescent="0.2">
      <c r="A41" s="2">
        <v>38</v>
      </c>
      <c r="B41" s="2">
        <f t="shared" si="0"/>
        <v>0</v>
      </c>
      <c r="C41" s="2">
        <v>1</v>
      </c>
      <c r="E41" s="2">
        <v>103</v>
      </c>
      <c r="F41" s="2">
        <f t="shared" si="1"/>
        <v>0</v>
      </c>
      <c r="G41" s="2">
        <v>1</v>
      </c>
      <c r="I41" s="2">
        <v>71</v>
      </c>
      <c r="J41" s="2">
        <f t="shared" si="2"/>
        <v>0</v>
      </c>
      <c r="K41" s="2">
        <v>1</v>
      </c>
      <c r="M41" s="2">
        <v>38</v>
      </c>
      <c r="N41" s="2">
        <f t="shared" si="3"/>
        <v>1</v>
      </c>
      <c r="O41" s="2">
        <v>1</v>
      </c>
    </row>
    <row r="42" spans="1:15" x14ac:dyDescent="0.2">
      <c r="A42" s="2">
        <v>55</v>
      </c>
      <c r="B42" s="2">
        <f t="shared" si="0"/>
        <v>1</v>
      </c>
      <c r="C42" s="2">
        <v>1</v>
      </c>
      <c r="E42" s="2">
        <v>127</v>
      </c>
      <c r="F42" s="2">
        <f t="shared" si="1"/>
        <v>0</v>
      </c>
      <c r="G42" s="2">
        <v>1</v>
      </c>
      <c r="I42" s="2">
        <v>92</v>
      </c>
      <c r="J42" s="2">
        <f t="shared" si="2"/>
        <v>1</v>
      </c>
      <c r="K42" s="2">
        <v>1</v>
      </c>
      <c r="M42" s="2">
        <v>41</v>
      </c>
      <c r="N42" s="2">
        <f t="shared" si="3"/>
        <v>1</v>
      </c>
      <c r="O42" s="2">
        <v>1</v>
      </c>
    </row>
    <row r="43" spans="1:15" hidden="1" x14ac:dyDescent="0.2">
      <c r="A43" s="2">
        <v>29</v>
      </c>
      <c r="B43" s="2">
        <f t="shared" si="0"/>
        <v>0</v>
      </c>
      <c r="C43" s="2">
        <v>1</v>
      </c>
      <c r="E43" s="2">
        <v>112</v>
      </c>
      <c r="F43" s="2">
        <f t="shared" si="1"/>
        <v>0</v>
      </c>
      <c r="G43" s="2">
        <v>1</v>
      </c>
      <c r="I43" s="2">
        <v>95</v>
      </c>
      <c r="J43" s="2">
        <f t="shared" si="2"/>
        <v>1</v>
      </c>
      <c r="K43" s="2">
        <v>1</v>
      </c>
      <c r="M43" s="2">
        <v>38</v>
      </c>
      <c r="N43" s="2">
        <f t="shared" si="3"/>
        <v>1</v>
      </c>
      <c r="O43" s="2">
        <v>1</v>
      </c>
    </row>
    <row r="44" spans="1:15" hidden="1" x14ac:dyDescent="0.2">
      <c r="A44" s="2">
        <v>30</v>
      </c>
      <c r="B44" s="2">
        <f t="shared" si="0"/>
        <v>0</v>
      </c>
      <c r="C44" s="2">
        <v>0</v>
      </c>
      <c r="E44" s="2">
        <v>147</v>
      </c>
      <c r="F44" s="2">
        <f t="shared" si="1"/>
        <v>1</v>
      </c>
      <c r="G44" s="2">
        <v>0</v>
      </c>
      <c r="I44" s="2">
        <v>92</v>
      </c>
      <c r="J44" s="2">
        <f t="shared" si="2"/>
        <v>1</v>
      </c>
      <c r="K44" s="2">
        <v>0</v>
      </c>
      <c r="M44" s="2">
        <v>30</v>
      </c>
      <c r="N44" s="2">
        <f t="shared" si="3"/>
        <v>0</v>
      </c>
      <c r="O44" s="2">
        <v>0</v>
      </c>
    </row>
    <row r="45" spans="1:15" x14ac:dyDescent="0.2">
      <c r="A45" s="2">
        <v>57</v>
      </c>
      <c r="B45" s="2">
        <f t="shared" si="0"/>
        <v>1</v>
      </c>
      <c r="C45" s="2">
        <v>1</v>
      </c>
      <c r="E45" s="2">
        <v>118</v>
      </c>
      <c r="F45" s="2">
        <f t="shared" si="1"/>
        <v>0</v>
      </c>
      <c r="G45" s="2">
        <v>1</v>
      </c>
      <c r="I45" s="2">
        <v>88</v>
      </c>
      <c r="J45" s="2">
        <f t="shared" si="2"/>
        <v>0</v>
      </c>
      <c r="K45" s="2">
        <v>1</v>
      </c>
      <c r="M45" s="2">
        <v>41</v>
      </c>
      <c r="N45" s="2">
        <f t="shared" si="3"/>
        <v>1</v>
      </c>
      <c r="O45" s="2">
        <v>1</v>
      </c>
    </row>
    <row r="46" spans="1:15" x14ac:dyDescent="0.2">
      <c r="A46" s="2">
        <v>55</v>
      </c>
      <c r="B46" s="2">
        <f t="shared" si="0"/>
        <v>1</v>
      </c>
      <c r="C46" s="2">
        <v>1</v>
      </c>
      <c r="E46" s="2">
        <v>120</v>
      </c>
      <c r="F46" s="2">
        <f t="shared" si="1"/>
        <v>0</v>
      </c>
      <c r="G46" s="2">
        <v>1</v>
      </c>
      <c r="I46" s="2">
        <v>86</v>
      </c>
      <c r="J46" s="2">
        <f t="shared" si="2"/>
        <v>0</v>
      </c>
      <c r="K46" s="2">
        <v>1</v>
      </c>
      <c r="M46" s="2">
        <v>32</v>
      </c>
      <c r="N46" s="2">
        <f t="shared" si="3"/>
        <v>0</v>
      </c>
      <c r="O46" s="2">
        <v>1</v>
      </c>
    </row>
    <row r="47" spans="1:15" x14ac:dyDescent="0.2">
      <c r="A47" s="2">
        <v>59</v>
      </c>
      <c r="B47" s="2">
        <f t="shared" si="0"/>
        <v>1</v>
      </c>
      <c r="C47" s="2">
        <v>1</v>
      </c>
      <c r="E47" s="2">
        <v>130</v>
      </c>
      <c r="F47" s="2">
        <f t="shared" si="1"/>
        <v>1</v>
      </c>
      <c r="G47" s="2">
        <v>1</v>
      </c>
      <c r="I47" s="2">
        <v>65</v>
      </c>
      <c r="J47" s="2">
        <f t="shared" si="2"/>
        <v>0</v>
      </c>
      <c r="K47" s="2">
        <v>1</v>
      </c>
      <c r="M47" s="2">
        <v>36</v>
      </c>
      <c r="N47" s="2">
        <f t="shared" si="3"/>
        <v>1</v>
      </c>
      <c r="O47" s="2">
        <v>1</v>
      </c>
    </row>
    <row r="48" spans="1:15" hidden="1" x14ac:dyDescent="0.2">
      <c r="A48" s="2">
        <v>40</v>
      </c>
      <c r="B48" s="2">
        <f t="shared" si="0"/>
        <v>0</v>
      </c>
      <c r="C48" s="2">
        <v>1</v>
      </c>
      <c r="E48" s="2">
        <v>116</v>
      </c>
      <c r="F48" s="2">
        <f t="shared" si="1"/>
        <v>0</v>
      </c>
      <c r="G48" s="2">
        <v>1</v>
      </c>
      <c r="I48" s="2">
        <v>100</v>
      </c>
      <c r="J48" s="2">
        <f t="shared" si="2"/>
        <v>1</v>
      </c>
      <c r="K48" s="2">
        <v>1</v>
      </c>
      <c r="M48" s="2">
        <v>36</v>
      </c>
      <c r="N48" s="2">
        <f t="shared" si="3"/>
        <v>1</v>
      </c>
      <c r="O48" s="2">
        <v>1</v>
      </c>
    </row>
    <row r="49" spans="1:15" x14ac:dyDescent="0.2">
      <c r="A49" s="2">
        <v>59</v>
      </c>
      <c r="B49" s="2">
        <f t="shared" si="0"/>
        <v>1</v>
      </c>
      <c r="C49" s="2">
        <v>1</v>
      </c>
      <c r="E49" s="2">
        <v>149</v>
      </c>
      <c r="F49" s="2">
        <f t="shared" si="1"/>
        <v>1</v>
      </c>
      <c r="G49" s="2">
        <v>1</v>
      </c>
      <c r="I49" s="2">
        <v>128</v>
      </c>
      <c r="J49" s="2">
        <f t="shared" si="2"/>
        <v>1</v>
      </c>
      <c r="K49" s="2">
        <v>1</v>
      </c>
      <c r="M49" s="2">
        <v>37</v>
      </c>
      <c r="N49" s="2">
        <f t="shared" si="3"/>
        <v>1</v>
      </c>
      <c r="O49" s="2">
        <v>1</v>
      </c>
    </row>
    <row r="50" spans="1:15" hidden="1" x14ac:dyDescent="0.2">
      <c r="A50" s="2">
        <v>33</v>
      </c>
      <c r="B50" s="2">
        <f t="shared" si="0"/>
        <v>0</v>
      </c>
      <c r="C50" s="2">
        <v>1</v>
      </c>
      <c r="E50" s="2">
        <v>120</v>
      </c>
      <c r="F50" s="2">
        <f t="shared" si="1"/>
        <v>0</v>
      </c>
      <c r="G50" s="2">
        <v>1</v>
      </c>
      <c r="I50" s="2">
        <v>64</v>
      </c>
      <c r="J50" s="2">
        <f t="shared" si="2"/>
        <v>0</v>
      </c>
      <c r="K50" s="2">
        <v>1</v>
      </c>
      <c r="M50" s="2">
        <v>33</v>
      </c>
      <c r="N50" s="2">
        <f t="shared" si="3"/>
        <v>0</v>
      </c>
      <c r="O50" s="2">
        <v>1</v>
      </c>
    </row>
    <row r="51" spans="1:15" x14ac:dyDescent="0.2">
      <c r="A51" s="2">
        <v>55</v>
      </c>
      <c r="B51" s="2">
        <f t="shared" si="0"/>
        <v>1</v>
      </c>
      <c r="C51" s="2">
        <v>1</v>
      </c>
      <c r="E51" s="2">
        <v>115</v>
      </c>
      <c r="F51" s="2">
        <f t="shared" si="1"/>
        <v>0</v>
      </c>
      <c r="G51" s="2">
        <v>1</v>
      </c>
      <c r="I51" s="2">
        <v>81</v>
      </c>
      <c r="J51" s="2">
        <f t="shared" si="2"/>
        <v>0</v>
      </c>
      <c r="K51" s="2">
        <v>1</v>
      </c>
      <c r="M51" s="2">
        <v>32</v>
      </c>
      <c r="N51" s="2">
        <f t="shared" si="3"/>
        <v>0</v>
      </c>
      <c r="O51" s="2">
        <v>1</v>
      </c>
    </row>
    <row r="52" spans="1:15" x14ac:dyDescent="0.2">
      <c r="A52" s="2">
        <v>62</v>
      </c>
      <c r="B52" s="2">
        <f t="shared" si="0"/>
        <v>1</v>
      </c>
      <c r="C52" s="2">
        <v>1</v>
      </c>
      <c r="E52" s="2">
        <v>109</v>
      </c>
      <c r="F52" s="2">
        <f t="shared" si="1"/>
        <v>0</v>
      </c>
      <c r="G52" s="2">
        <v>1</v>
      </c>
      <c r="I52" s="2">
        <v>110</v>
      </c>
      <c r="J52" s="2">
        <f t="shared" si="2"/>
        <v>1</v>
      </c>
      <c r="K52" s="2">
        <v>1</v>
      </c>
      <c r="M52" s="2">
        <v>38</v>
      </c>
      <c r="N52" s="2">
        <f t="shared" si="3"/>
        <v>1</v>
      </c>
      <c r="O52" s="2">
        <v>1</v>
      </c>
    </row>
    <row r="53" spans="1:15" x14ac:dyDescent="0.2">
      <c r="A53" s="2">
        <v>60</v>
      </c>
      <c r="B53" s="2">
        <f t="shared" si="0"/>
        <v>1</v>
      </c>
      <c r="C53" s="2">
        <v>1</v>
      </c>
      <c r="E53" s="2">
        <v>130</v>
      </c>
      <c r="F53" s="2">
        <f t="shared" si="1"/>
        <v>1</v>
      </c>
      <c r="G53" s="2">
        <v>1</v>
      </c>
      <c r="I53" s="2">
        <v>69</v>
      </c>
      <c r="J53" s="2">
        <f t="shared" si="2"/>
        <v>0</v>
      </c>
      <c r="K53" s="2">
        <v>1</v>
      </c>
      <c r="M53" s="2">
        <v>35</v>
      </c>
      <c r="N53" s="2">
        <f t="shared" si="3"/>
        <v>0</v>
      </c>
      <c r="O53" s="2">
        <v>1</v>
      </c>
    </row>
    <row r="54" spans="1:15" x14ac:dyDescent="0.2">
      <c r="A54" s="2">
        <v>61</v>
      </c>
      <c r="B54" s="2">
        <f t="shared" si="0"/>
        <v>1</v>
      </c>
      <c r="C54" s="2">
        <v>1</v>
      </c>
      <c r="E54" s="2">
        <v>124</v>
      </c>
      <c r="F54" s="2">
        <f t="shared" si="1"/>
        <v>0</v>
      </c>
      <c r="G54" s="2">
        <v>1</v>
      </c>
      <c r="I54" s="2">
        <v>95</v>
      </c>
      <c r="J54" s="2">
        <f t="shared" si="2"/>
        <v>1</v>
      </c>
      <c r="K54" s="2">
        <v>1</v>
      </c>
      <c r="M54" s="2">
        <v>36</v>
      </c>
      <c r="N54" s="2">
        <f t="shared" si="3"/>
        <v>1</v>
      </c>
      <c r="O54" s="2">
        <v>1</v>
      </c>
    </row>
    <row r="55" spans="1:15" x14ac:dyDescent="0.2">
      <c r="A55" s="2">
        <v>53</v>
      </c>
      <c r="B55" s="2">
        <f t="shared" si="0"/>
        <v>1</v>
      </c>
      <c r="C55" s="2">
        <v>1</v>
      </c>
      <c r="E55" s="2">
        <v>150</v>
      </c>
      <c r="F55" s="2">
        <f t="shared" si="1"/>
        <v>1</v>
      </c>
      <c r="G55" s="2">
        <v>1</v>
      </c>
      <c r="I55" s="2">
        <v>81</v>
      </c>
      <c r="J55" s="2">
        <f t="shared" si="2"/>
        <v>0</v>
      </c>
      <c r="K55" s="2">
        <v>1</v>
      </c>
      <c r="M55" s="2">
        <v>41</v>
      </c>
      <c r="N55" s="2">
        <f t="shared" si="3"/>
        <v>1</v>
      </c>
      <c r="O55" s="2">
        <v>1</v>
      </c>
    </row>
    <row r="56" spans="1:15" x14ac:dyDescent="0.2">
      <c r="A56" s="2">
        <v>69</v>
      </c>
      <c r="B56" s="2">
        <f t="shared" si="0"/>
        <v>1</v>
      </c>
      <c r="C56" s="2">
        <v>1</v>
      </c>
      <c r="E56" s="2">
        <v>132</v>
      </c>
      <c r="F56" s="2">
        <f t="shared" si="1"/>
        <v>1</v>
      </c>
      <c r="G56" s="2">
        <v>1</v>
      </c>
      <c r="I56" s="2">
        <v>90</v>
      </c>
      <c r="J56" s="2">
        <f t="shared" si="2"/>
        <v>0</v>
      </c>
      <c r="K56" s="2">
        <v>1</v>
      </c>
      <c r="M56" s="2">
        <v>36</v>
      </c>
      <c r="N56" s="2">
        <f t="shared" si="3"/>
        <v>1</v>
      </c>
      <c r="O56" s="2">
        <v>1</v>
      </c>
    </row>
    <row r="57" spans="1:15" x14ac:dyDescent="0.2">
      <c r="A57" s="2">
        <v>56</v>
      </c>
      <c r="B57" s="2">
        <f t="shared" si="0"/>
        <v>1</v>
      </c>
      <c r="C57" s="2">
        <v>1</v>
      </c>
      <c r="E57" s="2">
        <v>131</v>
      </c>
      <c r="F57" s="2">
        <f t="shared" si="1"/>
        <v>1</v>
      </c>
      <c r="G57" s="2">
        <v>1</v>
      </c>
      <c r="I57" s="2">
        <v>101</v>
      </c>
      <c r="J57" s="2">
        <f t="shared" si="2"/>
        <v>1</v>
      </c>
      <c r="K57" s="2">
        <v>1</v>
      </c>
      <c r="M57" s="2">
        <v>32</v>
      </c>
      <c r="N57" s="2">
        <f t="shared" si="3"/>
        <v>0</v>
      </c>
      <c r="O57" s="2">
        <v>1</v>
      </c>
    </row>
    <row r="58" spans="1:15" hidden="1" x14ac:dyDescent="0.2">
      <c r="A58" s="2">
        <v>45</v>
      </c>
      <c r="B58" s="2">
        <f t="shared" si="0"/>
        <v>0</v>
      </c>
      <c r="C58" s="2">
        <v>0</v>
      </c>
      <c r="E58" s="2">
        <v>116</v>
      </c>
      <c r="F58" s="2">
        <f t="shared" si="1"/>
        <v>0</v>
      </c>
      <c r="G58" s="2">
        <v>0</v>
      </c>
      <c r="I58" s="2">
        <v>66</v>
      </c>
      <c r="J58" s="2">
        <f t="shared" si="2"/>
        <v>0</v>
      </c>
      <c r="K58" s="2">
        <v>0</v>
      </c>
      <c r="M58" s="2">
        <v>33</v>
      </c>
      <c r="N58" s="2">
        <f t="shared" si="3"/>
        <v>0</v>
      </c>
      <c r="O58" s="2">
        <v>0</v>
      </c>
    </row>
    <row r="59" spans="1:15" hidden="1" x14ac:dyDescent="0.2">
      <c r="A59" s="2">
        <v>26</v>
      </c>
      <c r="B59" s="2">
        <f t="shared" si="0"/>
        <v>0</v>
      </c>
      <c r="C59" s="2">
        <v>0</v>
      </c>
      <c r="E59" s="2">
        <v>149</v>
      </c>
      <c r="F59" s="2">
        <f t="shared" si="1"/>
        <v>1</v>
      </c>
      <c r="G59" s="2">
        <v>0</v>
      </c>
      <c r="I59" s="2">
        <v>93</v>
      </c>
      <c r="J59" s="2">
        <f t="shared" si="2"/>
        <v>1</v>
      </c>
      <c r="K59" s="2">
        <v>0</v>
      </c>
      <c r="M59" s="2">
        <v>33</v>
      </c>
      <c r="N59" s="2">
        <f t="shared" si="3"/>
        <v>0</v>
      </c>
      <c r="O59" s="2">
        <v>0</v>
      </c>
    </row>
    <row r="60" spans="1:15" hidden="1" x14ac:dyDescent="0.2">
      <c r="A60" s="2">
        <v>28</v>
      </c>
      <c r="B60" s="2">
        <f t="shared" si="0"/>
        <v>0</v>
      </c>
      <c r="C60" s="2">
        <v>1</v>
      </c>
      <c r="E60" s="2">
        <v>135</v>
      </c>
      <c r="F60" s="2">
        <f t="shared" si="1"/>
        <v>1</v>
      </c>
      <c r="G60" s="2">
        <v>1</v>
      </c>
      <c r="I60" s="2">
        <v>110</v>
      </c>
      <c r="J60" s="2">
        <f t="shared" si="2"/>
        <v>1</v>
      </c>
      <c r="K60" s="2">
        <v>1</v>
      </c>
      <c r="M60" s="2">
        <v>35</v>
      </c>
      <c r="N60" s="2">
        <f t="shared" si="3"/>
        <v>0</v>
      </c>
      <c r="O60" s="2">
        <v>1</v>
      </c>
    </row>
    <row r="61" spans="1:15" x14ac:dyDescent="0.2">
      <c r="A61" s="2">
        <v>57</v>
      </c>
      <c r="B61" s="2">
        <f t="shared" si="0"/>
        <v>1</v>
      </c>
      <c r="C61" s="2">
        <v>1</v>
      </c>
      <c r="E61" s="2">
        <v>117</v>
      </c>
      <c r="F61" s="2">
        <f t="shared" si="1"/>
        <v>0</v>
      </c>
      <c r="G61" s="2">
        <v>1</v>
      </c>
      <c r="I61" s="2">
        <v>101</v>
      </c>
      <c r="J61" s="2">
        <f t="shared" si="2"/>
        <v>1</v>
      </c>
      <c r="K61" s="2">
        <v>1</v>
      </c>
      <c r="M61" s="2">
        <v>30</v>
      </c>
      <c r="N61" s="2">
        <f t="shared" si="3"/>
        <v>0</v>
      </c>
      <c r="O61" s="2">
        <v>1</v>
      </c>
    </row>
    <row r="62" spans="1:15" hidden="1" x14ac:dyDescent="0.2">
      <c r="A62" s="2">
        <v>24</v>
      </c>
      <c r="B62" s="2">
        <f t="shared" si="0"/>
        <v>0</v>
      </c>
      <c r="C62" s="2">
        <v>0</v>
      </c>
      <c r="E62" s="2">
        <v>111</v>
      </c>
      <c r="F62" s="2">
        <f t="shared" si="1"/>
        <v>0</v>
      </c>
      <c r="G62" s="2">
        <v>0</v>
      </c>
      <c r="I62" s="2">
        <v>85</v>
      </c>
      <c r="J62" s="2">
        <f t="shared" si="2"/>
        <v>0</v>
      </c>
      <c r="K62" s="2">
        <v>0</v>
      </c>
      <c r="M62" s="2">
        <v>37</v>
      </c>
      <c r="N62" s="2">
        <f t="shared" si="3"/>
        <v>1</v>
      </c>
      <c r="O62" s="2">
        <v>0</v>
      </c>
    </row>
    <row r="63" spans="1:15" x14ac:dyDescent="0.2">
      <c r="A63" s="2">
        <v>51</v>
      </c>
      <c r="B63" s="2">
        <f t="shared" si="0"/>
        <v>1</v>
      </c>
      <c r="C63" s="2">
        <v>1</v>
      </c>
      <c r="E63" s="2">
        <v>102</v>
      </c>
      <c r="F63" s="2">
        <f t="shared" si="1"/>
        <v>0</v>
      </c>
      <c r="G63" s="2">
        <v>1</v>
      </c>
      <c r="I63" s="2">
        <v>101</v>
      </c>
      <c r="J63" s="2">
        <f t="shared" si="2"/>
        <v>1</v>
      </c>
      <c r="K63" s="2">
        <v>1</v>
      </c>
      <c r="M63" s="2">
        <v>33</v>
      </c>
      <c r="N63" s="2">
        <f t="shared" si="3"/>
        <v>0</v>
      </c>
      <c r="O63" s="2">
        <v>1</v>
      </c>
    </row>
    <row r="64" spans="1:15" x14ac:dyDescent="0.2">
      <c r="A64" s="2">
        <v>62</v>
      </c>
      <c r="B64" s="2">
        <f t="shared" si="0"/>
        <v>1</v>
      </c>
      <c r="C64" s="2">
        <v>1</v>
      </c>
      <c r="E64" s="2">
        <v>129</v>
      </c>
      <c r="F64" s="2">
        <f t="shared" si="1"/>
        <v>1</v>
      </c>
      <c r="G64" s="2">
        <v>1</v>
      </c>
      <c r="I64" s="2">
        <v>117</v>
      </c>
      <c r="J64" s="2">
        <f t="shared" si="2"/>
        <v>1</v>
      </c>
      <c r="K64" s="2">
        <v>1</v>
      </c>
      <c r="M64" s="2">
        <v>34</v>
      </c>
      <c r="N64" s="2">
        <f t="shared" si="3"/>
        <v>0</v>
      </c>
      <c r="O64" s="2">
        <v>1</v>
      </c>
    </row>
    <row r="65" spans="1:15" x14ac:dyDescent="0.2">
      <c r="A65" s="2">
        <v>68</v>
      </c>
      <c r="B65" s="2">
        <f t="shared" si="0"/>
        <v>1</v>
      </c>
      <c r="C65" s="2">
        <v>1</v>
      </c>
      <c r="E65" s="2">
        <v>131</v>
      </c>
      <c r="F65" s="2">
        <f t="shared" si="1"/>
        <v>1</v>
      </c>
      <c r="G65" s="2">
        <v>1</v>
      </c>
      <c r="I65" s="2">
        <v>65</v>
      </c>
      <c r="J65" s="2">
        <f t="shared" si="2"/>
        <v>0</v>
      </c>
      <c r="K65" s="2">
        <v>1</v>
      </c>
      <c r="M65" s="2">
        <v>29</v>
      </c>
      <c r="N65" s="2">
        <f t="shared" si="3"/>
        <v>0</v>
      </c>
      <c r="O65" s="2">
        <v>1</v>
      </c>
    </row>
    <row r="66" spans="1:15" hidden="1" x14ac:dyDescent="0.2">
      <c r="A66" s="2">
        <v>24</v>
      </c>
      <c r="B66" s="2">
        <f t="shared" si="0"/>
        <v>0</v>
      </c>
      <c r="C66" s="2">
        <v>1</v>
      </c>
      <c r="E66" s="2">
        <v>130</v>
      </c>
      <c r="F66" s="2">
        <f t="shared" si="1"/>
        <v>1</v>
      </c>
      <c r="G66" s="2">
        <v>1</v>
      </c>
      <c r="I66" s="2">
        <v>109</v>
      </c>
      <c r="J66" s="2">
        <f t="shared" si="2"/>
        <v>1</v>
      </c>
      <c r="K66" s="2">
        <v>1</v>
      </c>
      <c r="M66" s="2">
        <v>36</v>
      </c>
      <c r="N66" s="2">
        <f t="shared" si="3"/>
        <v>1</v>
      </c>
      <c r="O66" s="2">
        <v>1</v>
      </c>
    </row>
    <row r="67" spans="1:15" hidden="1" x14ac:dyDescent="0.2">
      <c r="A67" s="2">
        <v>29</v>
      </c>
      <c r="B67" s="2">
        <f t="shared" si="0"/>
        <v>0</v>
      </c>
      <c r="C67" s="2">
        <v>0</v>
      </c>
      <c r="E67" s="2">
        <v>134</v>
      </c>
      <c r="F67" s="2">
        <f t="shared" si="1"/>
        <v>1</v>
      </c>
      <c r="G67" s="2">
        <v>0</v>
      </c>
      <c r="I67" s="2">
        <v>67</v>
      </c>
      <c r="J67" s="2">
        <f t="shared" si="2"/>
        <v>0</v>
      </c>
      <c r="K67" s="2">
        <v>0</v>
      </c>
      <c r="M67" s="2">
        <v>32</v>
      </c>
      <c r="N67" s="2">
        <f t="shared" si="3"/>
        <v>0</v>
      </c>
      <c r="O67" s="2">
        <v>0</v>
      </c>
    </row>
    <row r="68" spans="1:15" hidden="1" x14ac:dyDescent="0.2">
      <c r="A68" s="2">
        <v>31</v>
      </c>
      <c r="B68" s="2">
        <f t="shared" si="0"/>
        <v>0</v>
      </c>
      <c r="C68" s="2">
        <v>1</v>
      </c>
      <c r="E68" s="2">
        <v>152</v>
      </c>
      <c r="F68" s="2">
        <f t="shared" si="1"/>
        <v>1</v>
      </c>
      <c r="G68" s="2">
        <v>1</v>
      </c>
      <c r="I68" s="2">
        <v>107</v>
      </c>
      <c r="J68" s="2">
        <f t="shared" si="2"/>
        <v>1</v>
      </c>
      <c r="K68" s="2">
        <v>1</v>
      </c>
      <c r="M68" s="2">
        <v>29</v>
      </c>
      <c r="N68" s="2">
        <f t="shared" si="3"/>
        <v>0</v>
      </c>
      <c r="O68" s="2">
        <v>1</v>
      </c>
    </row>
    <row r="69" spans="1:15" x14ac:dyDescent="0.2">
      <c r="A69" s="2">
        <v>60</v>
      </c>
      <c r="B69" s="2">
        <f t="shared" si="0"/>
        <v>1</v>
      </c>
      <c r="C69" s="2">
        <v>1</v>
      </c>
      <c r="E69" s="2">
        <v>123</v>
      </c>
      <c r="F69" s="2">
        <f t="shared" si="1"/>
        <v>0</v>
      </c>
      <c r="G69" s="2">
        <v>1</v>
      </c>
      <c r="I69" s="2">
        <v>115</v>
      </c>
      <c r="J69" s="2">
        <f t="shared" si="2"/>
        <v>1</v>
      </c>
      <c r="K69" s="2">
        <v>1</v>
      </c>
      <c r="M69" s="2">
        <v>38</v>
      </c>
      <c r="N69" s="2">
        <f t="shared" si="3"/>
        <v>1</v>
      </c>
      <c r="O69" s="2">
        <v>1</v>
      </c>
    </row>
    <row r="70" spans="1:15" hidden="1" x14ac:dyDescent="0.2">
      <c r="A70" s="2">
        <v>33</v>
      </c>
      <c r="B70" s="2">
        <f t="shared" si="0"/>
        <v>0</v>
      </c>
      <c r="C70" s="2">
        <v>1</v>
      </c>
      <c r="E70" s="2">
        <v>134</v>
      </c>
      <c r="F70" s="2">
        <f t="shared" si="1"/>
        <v>1</v>
      </c>
      <c r="G70" s="2">
        <v>1</v>
      </c>
      <c r="I70" s="2">
        <v>95</v>
      </c>
      <c r="J70" s="2">
        <f t="shared" si="2"/>
        <v>1</v>
      </c>
      <c r="K70" s="2">
        <v>1</v>
      </c>
      <c r="M70" s="2">
        <v>35</v>
      </c>
      <c r="N70" s="2">
        <f t="shared" si="3"/>
        <v>0</v>
      </c>
      <c r="O70" s="2">
        <v>1</v>
      </c>
    </row>
    <row r="71" spans="1:15" hidden="1" x14ac:dyDescent="0.2">
      <c r="A71" s="2">
        <v>43</v>
      </c>
      <c r="B71" s="2">
        <f t="shared" si="0"/>
        <v>0</v>
      </c>
      <c r="C71" s="2">
        <v>0</v>
      </c>
      <c r="E71" s="2">
        <v>149</v>
      </c>
      <c r="F71" s="2">
        <f t="shared" si="1"/>
        <v>1</v>
      </c>
      <c r="G71" s="2">
        <v>0</v>
      </c>
      <c r="I71" s="2">
        <v>81</v>
      </c>
      <c r="J71" s="2">
        <f t="shared" si="2"/>
        <v>0</v>
      </c>
      <c r="K71" s="2">
        <v>0</v>
      </c>
      <c r="M71" s="2">
        <v>33</v>
      </c>
      <c r="N71" s="2">
        <f t="shared" si="3"/>
        <v>0</v>
      </c>
      <c r="O71" s="2">
        <v>0</v>
      </c>
    </row>
    <row r="72" spans="1:15" x14ac:dyDescent="0.2">
      <c r="A72" s="2">
        <v>60</v>
      </c>
      <c r="B72" s="2">
        <f t="shared" si="0"/>
        <v>1</v>
      </c>
      <c r="C72" s="2">
        <v>1</v>
      </c>
      <c r="E72" s="2">
        <v>108</v>
      </c>
      <c r="F72" s="2">
        <f t="shared" si="1"/>
        <v>0</v>
      </c>
      <c r="G72" s="2">
        <v>1</v>
      </c>
      <c r="I72" s="2">
        <v>72</v>
      </c>
      <c r="J72" s="2">
        <f t="shared" si="2"/>
        <v>0</v>
      </c>
      <c r="K72" s="2">
        <v>1</v>
      </c>
      <c r="M72" s="2">
        <v>30</v>
      </c>
      <c r="N72" s="2">
        <f t="shared" si="3"/>
        <v>0</v>
      </c>
      <c r="O72" s="2">
        <v>1</v>
      </c>
    </row>
    <row r="73" spans="1:15" hidden="1" x14ac:dyDescent="0.2">
      <c r="A73" s="2">
        <v>37</v>
      </c>
      <c r="B73" s="2">
        <f t="shared" si="0"/>
        <v>0</v>
      </c>
      <c r="C73" s="2">
        <v>1</v>
      </c>
      <c r="E73" s="2">
        <v>139</v>
      </c>
      <c r="F73" s="2">
        <f t="shared" si="1"/>
        <v>1</v>
      </c>
      <c r="G73" s="2">
        <v>1</v>
      </c>
      <c r="I73" s="2">
        <v>80</v>
      </c>
      <c r="J73" s="2">
        <f t="shared" si="2"/>
        <v>0</v>
      </c>
      <c r="K73" s="2">
        <v>1</v>
      </c>
      <c r="M73" s="2">
        <v>39</v>
      </c>
      <c r="N73" s="2">
        <f t="shared" si="3"/>
        <v>1</v>
      </c>
      <c r="O73" s="2">
        <v>1</v>
      </c>
    </row>
    <row r="74" spans="1:15" hidden="1" x14ac:dyDescent="0.2">
      <c r="A74" s="2">
        <v>32</v>
      </c>
      <c r="B74" s="2">
        <f t="shared" si="0"/>
        <v>0</v>
      </c>
      <c r="C74" s="2">
        <v>0</v>
      </c>
      <c r="E74" s="2">
        <v>105</v>
      </c>
      <c r="F74" s="2">
        <f t="shared" si="1"/>
        <v>0</v>
      </c>
      <c r="G74" s="2">
        <v>0</v>
      </c>
      <c r="I74" s="2">
        <v>97</v>
      </c>
      <c r="J74" s="2">
        <f t="shared" si="2"/>
        <v>1</v>
      </c>
      <c r="K74" s="2">
        <v>0</v>
      </c>
      <c r="M74" s="2">
        <v>34</v>
      </c>
      <c r="N74" s="2">
        <f t="shared" si="3"/>
        <v>0</v>
      </c>
      <c r="O74" s="2">
        <v>0</v>
      </c>
    </row>
    <row r="75" spans="1:15" hidden="1" x14ac:dyDescent="0.2">
      <c r="A75" s="2">
        <v>36</v>
      </c>
      <c r="B75" s="2">
        <f t="shared" si="0"/>
        <v>0</v>
      </c>
      <c r="C75" s="2">
        <v>1</v>
      </c>
      <c r="E75" s="2">
        <v>106</v>
      </c>
      <c r="F75" s="2">
        <f t="shared" si="1"/>
        <v>0</v>
      </c>
      <c r="G75" s="2">
        <v>1</v>
      </c>
      <c r="I75" s="2">
        <v>107</v>
      </c>
      <c r="J75" s="2">
        <f t="shared" si="2"/>
        <v>1</v>
      </c>
      <c r="K75" s="2">
        <v>1</v>
      </c>
      <c r="M75" s="2">
        <v>33</v>
      </c>
      <c r="N75" s="2">
        <f t="shared" si="3"/>
        <v>0</v>
      </c>
      <c r="O75" s="2">
        <v>1</v>
      </c>
    </row>
    <row r="76" spans="1:15" x14ac:dyDescent="0.2">
      <c r="A76" s="2">
        <v>57</v>
      </c>
      <c r="B76" s="2">
        <f t="shared" si="0"/>
        <v>1</v>
      </c>
      <c r="C76" s="2">
        <v>1</v>
      </c>
      <c r="E76" s="2">
        <v>116</v>
      </c>
      <c r="F76" s="2">
        <f t="shared" si="1"/>
        <v>0</v>
      </c>
      <c r="G76" s="2">
        <v>1</v>
      </c>
      <c r="I76" s="2">
        <v>107</v>
      </c>
      <c r="J76" s="2">
        <f t="shared" si="2"/>
        <v>1</v>
      </c>
      <c r="K76" s="2">
        <v>1</v>
      </c>
      <c r="M76" s="2">
        <v>29</v>
      </c>
      <c r="N76" s="2">
        <f t="shared" si="3"/>
        <v>0</v>
      </c>
      <c r="O76" s="2">
        <v>1</v>
      </c>
    </row>
    <row r="77" spans="1:15" x14ac:dyDescent="0.2">
      <c r="A77" s="2">
        <v>60</v>
      </c>
      <c r="B77" s="2">
        <f t="shared" si="0"/>
        <v>1</v>
      </c>
      <c r="C77" s="2">
        <v>1</v>
      </c>
      <c r="E77" s="2">
        <v>126</v>
      </c>
      <c r="F77" s="2">
        <f t="shared" si="1"/>
        <v>0</v>
      </c>
      <c r="G77" s="2">
        <v>1</v>
      </c>
      <c r="I77" s="2">
        <v>68</v>
      </c>
      <c r="J77" s="2">
        <f t="shared" si="2"/>
        <v>0</v>
      </c>
      <c r="K77" s="2">
        <v>1</v>
      </c>
      <c r="M77" s="2">
        <v>35</v>
      </c>
      <c r="N77" s="2">
        <f t="shared" si="3"/>
        <v>0</v>
      </c>
      <c r="O77" s="2">
        <v>1</v>
      </c>
    </row>
    <row r="78" spans="1:15" x14ac:dyDescent="0.2">
      <c r="A78" s="2">
        <v>52</v>
      </c>
      <c r="B78" s="2">
        <f t="shared" si="0"/>
        <v>1</v>
      </c>
      <c r="C78" s="2">
        <v>0</v>
      </c>
      <c r="E78" s="2">
        <v>122</v>
      </c>
      <c r="F78" s="2">
        <f t="shared" si="1"/>
        <v>0</v>
      </c>
      <c r="G78" s="2">
        <v>0</v>
      </c>
      <c r="I78" s="2">
        <v>104</v>
      </c>
      <c r="J78" s="2">
        <f t="shared" si="2"/>
        <v>1</v>
      </c>
      <c r="K78" s="2">
        <v>0</v>
      </c>
      <c r="M78" s="2">
        <v>40</v>
      </c>
      <c r="N78" s="2">
        <f t="shared" si="3"/>
        <v>1</v>
      </c>
      <c r="O78" s="2">
        <v>0</v>
      </c>
    </row>
    <row r="79" spans="1:15" hidden="1" x14ac:dyDescent="0.2">
      <c r="A79" s="2">
        <v>29</v>
      </c>
      <c r="B79" s="2">
        <f t="shared" si="0"/>
        <v>0</v>
      </c>
      <c r="C79" s="2">
        <v>1</v>
      </c>
      <c r="E79" s="2">
        <v>132</v>
      </c>
      <c r="F79" s="2">
        <f t="shared" si="1"/>
        <v>1</v>
      </c>
      <c r="G79" s="2">
        <v>1</v>
      </c>
      <c r="I79" s="2">
        <v>103</v>
      </c>
      <c r="J79" s="2">
        <f t="shared" si="2"/>
        <v>1</v>
      </c>
      <c r="K79" s="2">
        <v>1</v>
      </c>
      <c r="M79" s="2">
        <v>34</v>
      </c>
      <c r="N79" s="2">
        <f t="shared" si="3"/>
        <v>0</v>
      </c>
      <c r="O79" s="2">
        <v>1</v>
      </c>
    </row>
    <row r="80" spans="1:15" hidden="1" x14ac:dyDescent="0.2">
      <c r="A80" s="2">
        <v>44</v>
      </c>
      <c r="B80" s="2">
        <f t="shared" ref="B80:B104" si="4">+IF(A80&gt;B$1,1,0)</f>
        <v>0</v>
      </c>
      <c r="C80" s="2">
        <v>1</v>
      </c>
      <c r="E80" s="2">
        <v>130</v>
      </c>
      <c r="F80" s="2">
        <f t="shared" ref="F80:F104" si="5">+IF(E80&gt;F$1,1,0)</f>
        <v>1</v>
      </c>
      <c r="G80" s="2">
        <v>1</v>
      </c>
      <c r="I80" s="2">
        <v>80</v>
      </c>
      <c r="J80" s="2">
        <f t="shared" ref="J80:J104" si="6">+IF(I80&gt;J$1,1,0)</f>
        <v>0</v>
      </c>
      <c r="K80" s="2">
        <v>1</v>
      </c>
      <c r="M80" s="2">
        <v>36</v>
      </c>
      <c r="N80" s="2">
        <f t="shared" ref="N80:N104" si="7">+IF(M80&gt;N$1,1,0)</f>
        <v>1</v>
      </c>
      <c r="O80" s="2">
        <v>1</v>
      </c>
    </row>
    <row r="81" spans="1:15" x14ac:dyDescent="0.2">
      <c r="A81" s="2">
        <v>53</v>
      </c>
      <c r="B81" s="2">
        <f t="shared" si="4"/>
        <v>1</v>
      </c>
      <c r="C81" s="2">
        <v>1</v>
      </c>
      <c r="E81" s="2">
        <v>113</v>
      </c>
      <c r="F81" s="2">
        <f t="shared" si="5"/>
        <v>0</v>
      </c>
      <c r="G81" s="2">
        <v>1</v>
      </c>
      <c r="I81" s="2">
        <v>81</v>
      </c>
      <c r="J81" s="2">
        <f t="shared" si="6"/>
        <v>0</v>
      </c>
      <c r="K81" s="2">
        <v>1</v>
      </c>
      <c r="M81" s="2">
        <v>39</v>
      </c>
      <c r="N81" s="2">
        <f t="shared" si="7"/>
        <v>1</v>
      </c>
      <c r="O81" s="2">
        <v>1</v>
      </c>
    </row>
    <row r="82" spans="1:15" x14ac:dyDescent="0.2">
      <c r="A82" s="2">
        <v>47</v>
      </c>
      <c r="B82" s="2">
        <f t="shared" si="4"/>
        <v>1</v>
      </c>
      <c r="C82" s="2">
        <v>0</v>
      </c>
      <c r="E82" s="2">
        <v>117</v>
      </c>
      <c r="F82" s="2">
        <f t="shared" si="5"/>
        <v>0</v>
      </c>
      <c r="G82" s="2">
        <v>0</v>
      </c>
      <c r="I82" s="2">
        <v>113</v>
      </c>
      <c r="J82" s="2">
        <f t="shared" si="6"/>
        <v>1</v>
      </c>
      <c r="K82" s="2">
        <v>0</v>
      </c>
      <c r="M82" s="2">
        <v>34</v>
      </c>
      <c r="N82" s="2">
        <f t="shared" si="7"/>
        <v>0</v>
      </c>
      <c r="O82" s="2">
        <v>0</v>
      </c>
    </row>
    <row r="83" spans="1:15" hidden="1" x14ac:dyDescent="0.2">
      <c r="A83" s="2">
        <v>33</v>
      </c>
      <c r="B83" s="2">
        <f t="shared" si="4"/>
        <v>0</v>
      </c>
      <c r="C83" s="2">
        <v>1</v>
      </c>
      <c r="E83" s="2">
        <v>119</v>
      </c>
      <c r="F83" s="2">
        <f t="shared" si="5"/>
        <v>0</v>
      </c>
      <c r="G83" s="2">
        <v>1</v>
      </c>
      <c r="I83" s="2">
        <v>111</v>
      </c>
      <c r="J83" s="2">
        <f t="shared" si="6"/>
        <v>1</v>
      </c>
      <c r="K83" s="2">
        <v>1</v>
      </c>
      <c r="M83" s="2">
        <v>40</v>
      </c>
      <c r="N83" s="2">
        <f t="shared" si="7"/>
        <v>1</v>
      </c>
      <c r="O83" s="2">
        <v>1</v>
      </c>
    </row>
    <row r="84" spans="1:15" x14ac:dyDescent="0.2">
      <c r="A84" s="2">
        <v>51</v>
      </c>
      <c r="B84" s="2">
        <f t="shared" si="4"/>
        <v>1</v>
      </c>
      <c r="C84" s="2">
        <v>1</v>
      </c>
      <c r="E84" s="2">
        <v>115</v>
      </c>
      <c r="F84" s="2">
        <f t="shared" si="5"/>
        <v>0</v>
      </c>
      <c r="G84" s="2">
        <v>1</v>
      </c>
      <c r="I84" s="2">
        <v>83</v>
      </c>
      <c r="J84" s="2">
        <f t="shared" si="6"/>
        <v>0</v>
      </c>
      <c r="K84" s="2">
        <v>1</v>
      </c>
      <c r="M84" s="2">
        <v>33</v>
      </c>
      <c r="N84" s="2">
        <f t="shared" si="7"/>
        <v>0</v>
      </c>
      <c r="O84" s="2">
        <v>1</v>
      </c>
    </row>
    <row r="85" spans="1:15" hidden="1" x14ac:dyDescent="0.2">
      <c r="A85" s="2">
        <v>34</v>
      </c>
      <c r="B85" s="2">
        <f t="shared" si="4"/>
        <v>0</v>
      </c>
      <c r="C85" s="2">
        <v>1</v>
      </c>
      <c r="E85" s="2">
        <v>156</v>
      </c>
      <c r="F85" s="2">
        <f t="shared" si="5"/>
        <v>1</v>
      </c>
      <c r="G85" s="2">
        <v>1</v>
      </c>
      <c r="I85" s="2">
        <v>82</v>
      </c>
      <c r="J85" s="2">
        <f t="shared" si="6"/>
        <v>0</v>
      </c>
      <c r="K85" s="2">
        <v>1</v>
      </c>
      <c r="M85" s="2">
        <v>33</v>
      </c>
      <c r="N85" s="2">
        <f t="shared" si="7"/>
        <v>0</v>
      </c>
      <c r="O85" s="2">
        <v>1</v>
      </c>
    </row>
    <row r="86" spans="1:15" x14ac:dyDescent="0.2">
      <c r="A86" s="2">
        <v>67</v>
      </c>
      <c r="B86" s="2">
        <f t="shared" si="4"/>
        <v>1</v>
      </c>
      <c r="C86" s="2">
        <v>1</v>
      </c>
      <c r="E86" s="2">
        <v>135</v>
      </c>
      <c r="F86" s="2">
        <f t="shared" si="5"/>
        <v>1</v>
      </c>
      <c r="G86" s="2">
        <v>1</v>
      </c>
      <c r="I86" s="2">
        <v>94</v>
      </c>
      <c r="J86" s="2">
        <f t="shared" si="6"/>
        <v>1</v>
      </c>
      <c r="K86" s="2">
        <v>1</v>
      </c>
      <c r="M86" s="2">
        <v>29</v>
      </c>
      <c r="N86" s="2">
        <f t="shared" si="7"/>
        <v>0</v>
      </c>
      <c r="O86" s="2">
        <v>1</v>
      </c>
    </row>
    <row r="87" spans="1:15" x14ac:dyDescent="0.2">
      <c r="A87" s="2">
        <v>55</v>
      </c>
      <c r="B87" s="2">
        <f t="shared" si="4"/>
        <v>1</v>
      </c>
      <c r="C87" s="2">
        <v>0</v>
      </c>
      <c r="E87" s="2">
        <v>123</v>
      </c>
      <c r="F87" s="2">
        <f t="shared" si="5"/>
        <v>0</v>
      </c>
      <c r="G87" s="2">
        <v>0</v>
      </c>
      <c r="I87" s="2">
        <v>85</v>
      </c>
      <c r="J87" s="2">
        <f t="shared" si="6"/>
        <v>0</v>
      </c>
      <c r="K87" s="2">
        <v>0</v>
      </c>
      <c r="M87" s="2">
        <v>30</v>
      </c>
      <c r="N87" s="2">
        <f t="shared" si="7"/>
        <v>0</v>
      </c>
      <c r="O87" s="2">
        <v>0</v>
      </c>
    </row>
    <row r="88" spans="1:15" hidden="1" x14ac:dyDescent="0.2">
      <c r="A88" s="2">
        <v>28</v>
      </c>
      <c r="B88" s="2">
        <f t="shared" si="4"/>
        <v>0</v>
      </c>
      <c r="C88" s="2">
        <v>0</v>
      </c>
      <c r="E88" s="2">
        <v>120</v>
      </c>
      <c r="F88" s="2">
        <f t="shared" si="5"/>
        <v>0</v>
      </c>
      <c r="G88" s="2">
        <v>0</v>
      </c>
      <c r="I88" s="2">
        <v>80</v>
      </c>
      <c r="J88" s="2">
        <f t="shared" si="6"/>
        <v>0</v>
      </c>
      <c r="K88" s="2">
        <v>0</v>
      </c>
      <c r="M88" s="2">
        <v>29</v>
      </c>
      <c r="N88" s="2">
        <f t="shared" si="7"/>
        <v>0</v>
      </c>
      <c r="O88" s="2">
        <v>0</v>
      </c>
    </row>
    <row r="89" spans="1:15" x14ac:dyDescent="0.2">
      <c r="A89" s="2">
        <v>55</v>
      </c>
      <c r="B89" s="2">
        <f t="shared" si="4"/>
        <v>1</v>
      </c>
      <c r="C89" s="2">
        <v>1</v>
      </c>
      <c r="E89" s="2">
        <v>110</v>
      </c>
      <c r="F89" s="2">
        <f t="shared" si="5"/>
        <v>0</v>
      </c>
      <c r="G89" s="2">
        <v>1</v>
      </c>
      <c r="I89" s="2">
        <v>69</v>
      </c>
      <c r="J89" s="2">
        <f t="shared" si="6"/>
        <v>0</v>
      </c>
      <c r="K89" s="2">
        <v>1</v>
      </c>
      <c r="M89" s="2">
        <v>38</v>
      </c>
      <c r="N89" s="2">
        <f t="shared" si="7"/>
        <v>1</v>
      </c>
      <c r="O89" s="2">
        <v>1</v>
      </c>
    </row>
    <row r="90" spans="1:15" x14ac:dyDescent="0.2">
      <c r="A90" s="2">
        <v>50</v>
      </c>
      <c r="B90" s="2">
        <f t="shared" si="4"/>
        <v>1</v>
      </c>
      <c r="C90" s="2">
        <v>0</v>
      </c>
      <c r="E90" s="2">
        <v>113</v>
      </c>
      <c r="F90" s="2">
        <f t="shared" si="5"/>
        <v>0</v>
      </c>
      <c r="G90" s="2">
        <v>0</v>
      </c>
      <c r="I90" s="2">
        <v>84</v>
      </c>
      <c r="J90" s="2">
        <f t="shared" si="6"/>
        <v>0</v>
      </c>
      <c r="K90" s="2">
        <v>0</v>
      </c>
      <c r="M90" s="2">
        <v>39</v>
      </c>
      <c r="N90" s="2">
        <f t="shared" si="7"/>
        <v>1</v>
      </c>
      <c r="O90" s="2">
        <v>0</v>
      </c>
    </row>
    <row r="91" spans="1:15" x14ac:dyDescent="0.2">
      <c r="A91" s="2">
        <v>60</v>
      </c>
      <c r="B91" s="2">
        <f t="shared" si="4"/>
        <v>1</v>
      </c>
      <c r="C91" s="2">
        <v>1</v>
      </c>
      <c r="E91" s="2">
        <v>137</v>
      </c>
      <c r="F91" s="2">
        <f t="shared" si="5"/>
        <v>1</v>
      </c>
      <c r="G91" s="2">
        <v>1</v>
      </c>
      <c r="I91" s="2">
        <v>64</v>
      </c>
      <c r="J91" s="2">
        <f t="shared" si="6"/>
        <v>0</v>
      </c>
      <c r="K91" s="2">
        <v>1</v>
      </c>
      <c r="M91" s="2">
        <v>39</v>
      </c>
      <c r="N91" s="2">
        <f t="shared" si="7"/>
        <v>1</v>
      </c>
      <c r="O91" s="2">
        <v>1</v>
      </c>
    </row>
    <row r="92" spans="1:15" hidden="1" x14ac:dyDescent="0.2">
      <c r="A92" s="2">
        <v>35</v>
      </c>
      <c r="B92" s="2">
        <f t="shared" si="4"/>
        <v>0</v>
      </c>
      <c r="C92" s="2">
        <v>0</v>
      </c>
      <c r="E92" s="2">
        <v>134</v>
      </c>
      <c r="F92" s="2">
        <f t="shared" si="5"/>
        <v>1</v>
      </c>
      <c r="G92" s="2">
        <v>0</v>
      </c>
      <c r="I92" s="2">
        <v>90</v>
      </c>
      <c r="J92" s="2">
        <f t="shared" si="6"/>
        <v>0</v>
      </c>
      <c r="K92" s="2">
        <v>0</v>
      </c>
      <c r="M92" s="2">
        <v>34</v>
      </c>
      <c r="N92" s="2">
        <f t="shared" si="7"/>
        <v>0</v>
      </c>
      <c r="O92" s="2">
        <v>0</v>
      </c>
    </row>
    <row r="93" spans="1:15" hidden="1" x14ac:dyDescent="0.2">
      <c r="A93" s="2">
        <v>31</v>
      </c>
      <c r="B93" s="2">
        <f t="shared" si="4"/>
        <v>0</v>
      </c>
      <c r="C93" s="2">
        <v>1</v>
      </c>
      <c r="E93" s="2">
        <v>109</v>
      </c>
      <c r="F93" s="2">
        <f t="shared" si="5"/>
        <v>0</v>
      </c>
      <c r="G93" s="2">
        <v>1</v>
      </c>
      <c r="I93" s="2">
        <v>104</v>
      </c>
      <c r="J93" s="2">
        <f t="shared" si="6"/>
        <v>1</v>
      </c>
      <c r="K93" s="2">
        <v>1</v>
      </c>
      <c r="M93" s="2">
        <v>37</v>
      </c>
      <c r="N93" s="2">
        <f t="shared" si="7"/>
        <v>1</v>
      </c>
      <c r="O93" s="2">
        <v>1</v>
      </c>
    </row>
    <row r="94" spans="1:15" x14ac:dyDescent="0.2">
      <c r="A94" s="2">
        <v>65</v>
      </c>
      <c r="B94" s="2">
        <f t="shared" si="4"/>
        <v>1</v>
      </c>
      <c r="C94" s="2">
        <v>1</v>
      </c>
      <c r="E94" s="2">
        <v>111</v>
      </c>
      <c r="F94" s="2">
        <f t="shared" si="5"/>
        <v>0</v>
      </c>
      <c r="G94" s="2">
        <v>1</v>
      </c>
      <c r="I94" s="2">
        <v>90</v>
      </c>
      <c r="J94" s="2">
        <f t="shared" si="6"/>
        <v>0</v>
      </c>
      <c r="K94" s="2">
        <v>1</v>
      </c>
      <c r="M94" s="2">
        <v>36</v>
      </c>
      <c r="N94" s="2">
        <f t="shared" si="7"/>
        <v>1</v>
      </c>
      <c r="O94" s="2">
        <v>1</v>
      </c>
    </row>
    <row r="95" spans="1:15" hidden="1" x14ac:dyDescent="0.2">
      <c r="A95" s="2">
        <v>43</v>
      </c>
      <c r="B95" s="2">
        <f t="shared" si="4"/>
        <v>0</v>
      </c>
      <c r="C95" s="2">
        <v>1</v>
      </c>
      <c r="E95" s="2">
        <v>126</v>
      </c>
      <c r="F95" s="2">
        <f t="shared" si="5"/>
        <v>0</v>
      </c>
      <c r="G95" s="2">
        <v>1</v>
      </c>
      <c r="I95" s="2">
        <v>84</v>
      </c>
      <c r="J95" s="2">
        <f t="shared" si="6"/>
        <v>0</v>
      </c>
      <c r="K95" s="2">
        <v>1</v>
      </c>
      <c r="M95" s="2">
        <v>40</v>
      </c>
      <c r="N95" s="2">
        <f t="shared" si="7"/>
        <v>1</v>
      </c>
      <c r="O95" s="2">
        <v>1</v>
      </c>
    </row>
    <row r="96" spans="1:15" hidden="1" x14ac:dyDescent="0.2">
      <c r="A96" s="2">
        <v>34</v>
      </c>
      <c r="B96" s="2">
        <f t="shared" si="4"/>
        <v>0</v>
      </c>
      <c r="C96" s="2">
        <v>1</v>
      </c>
      <c r="E96" s="2">
        <v>148</v>
      </c>
      <c r="F96" s="2">
        <f t="shared" si="5"/>
        <v>1</v>
      </c>
      <c r="G96" s="2">
        <v>1</v>
      </c>
      <c r="I96" s="2">
        <v>124</v>
      </c>
      <c r="J96" s="2">
        <f t="shared" si="6"/>
        <v>1</v>
      </c>
      <c r="K96" s="2">
        <v>1</v>
      </c>
      <c r="M96" s="2">
        <v>37</v>
      </c>
      <c r="N96" s="2">
        <f t="shared" si="7"/>
        <v>1</v>
      </c>
      <c r="O96" s="2">
        <v>1</v>
      </c>
    </row>
    <row r="97" spans="1:15" x14ac:dyDescent="0.2">
      <c r="A97" s="2">
        <v>60</v>
      </c>
      <c r="B97" s="2">
        <f t="shared" si="4"/>
        <v>1</v>
      </c>
      <c r="C97" s="2">
        <v>1</v>
      </c>
      <c r="E97" s="2">
        <v>131</v>
      </c>
      <c r="F97" s="2">
        <f t="shared" si="5"/>
        <v>1</v>
      </c>
      <c r="G97" s="2">
        <v>1</v>
      </c>
      <c r="I97" s="2">
        <v>110</v>
      </c>
      <c r="J97" s="2">
        <f t="shared" si="6"/>
        <v>1</v>
      </c>
      <c r="K97" s="2">
        <v>1</v>
      </c>
      <c r="M97" s="2">
        <v>39</v>
      </c>
      <c r="N97" s="2">
        <f t="shared" si="7"/>
        <v>1</v>
      </c>
      <c r="O97" s="2">
        <v>1</v>
      </c>
    </row>
    <row r="98" spans="1:15" hidden="1" x14ac:dyDescent="0.2">
      <c r="A98" s="2">
        <v>28</v>
      </c>
      <c r="B98" s="2">
        <f t="shared" si="4"/>
        <v>0</v>
      </c>
      <c r="C98" s="2">
        <v>1</v>
      </c>
      <c r="E98" s="2">
        <v>124</v>
      </c>
      <c r="F98" s="2">
        <f t="shared" si="5"/>
        <v>0</v>
      </c>
      <c r="G98" s="2">
        <v>1</v>
      </c>
      <c r="I98" s="2">
        <v>123</v>
      </c>
      <c r="J98" s="2">
        <f t="shared" si="6"/>
        <v>1</v>
      </c>
      <c r="K98" s="2">
        <v>1</v>
      </c>
      <c r="M98" s="2">
        <v>40</v>
      </c>
      <c r="N98" s="2">
        <f t="shared" si="7"/>
        <v>1</v>
      </c>
      <c r="O98" s="2">
        <v>1</v>
      </c>
    </row>
    <row r="99" spans="1:15" x14ac:dyDescent="0.2">
      <c r="A99" s="2">
        <v>57</v>
      </c>
      <c r="B99" s="2">
        <f t="shared" si="4"/>
        <v>1</v>
      </c>
      <c r="C99" s="2">
        <v>1</v>
      </c>
      <c r="E99" s="2">
        <v>156</v>
      </c>
      <c r="F99" s="2">
        <f t="shared" si="5"/>
        <v>1</v>
      </c>
      <c r="G99" s="2">
        <v>1</v>
      </c>
      <c r="I99" s="2">
        <v>113</v>
      </c>
      <c r="J99" s="2">
        <f t="shared" si="6"/>
        <v>1</v>
      </c>
      <c r="K99" s="2">
        <v>1</v>
      </c>
      <c r="M99" s="2">
        <v>38</v>
      </c>
      <c r="N99" s="2">
        <f t="shared" si="7"/>
        <v>1</v>
      </c>
      <c r="O99" s="2">
        <v>1</v>
      </c>
    </row>
    <row r="100" spans="1:15" hidden="1" x14ac:dyDescent="0.2">
      <c r="A100" s="2">
        <v>32</v>
      </c>
      <c r="B100" s="2">
        <f t="shared" si="4"/>
        <v>0</v>
      </c>
      <c r="C100" s="2">
        <v>1</v>
      </c>
      <c r="E100" s="2">
        <v>119</v>
      </c>
      <c r="F100" s="2">
        <f t="shared" si="5"/>
        <v>0</v>
      </c>
      <c r="G100" s="2">
        <v>1</v>
      </c>
      <c r="I100" s="2">
        <v>60</v>
      </c>
      <c r="J100" s="2">
        <f t="shared" si="6"/>
        <v>0</v>
      </c>
      <c r="K100" s="2">
        <v>1</v>
      </c>
      <c r="M100" s="2">
        <v>34</v>
      </c>
      <c r="N100" s="2">
        <f t="shared" si="7"/>
        <v>0</v>
      </c>
      <c r="O100" s="2">
        <v>1</v>
      </c>
    </row>
    <row r="101" spans="1:15" hidden="1" x14ac:dyDescent="0.2">
      <c r="A101" s="2">
        <v>34</v>
      </c>
      <c r="B101" s="2">
        <f t="shared" si="4"/>
        <v>0</v>
      </c>
      <c r="C101" s="2">
        <v>0</v>
      </c>
      <c r="E101" s="2">
        <v>145</v>
      </c>
      <c r="F101" s="2">
        <f t="shared" si="5"/>
        <v>1</v>
      </c>
      <c r="G101" s="2">
        <v>0</v>
      </c>
      <c r="I101" s="2">
        <v>63</v>
      </c>
      <c r="J101" s="2">
        <f t="shared" si="6"/>
        <v>0</v>
      </c>
      <c r="K101" s="2">
        <v>0</v>
      </c>
      <c r="M101" s="2">
        <v>31</v>
      </c>
      <c r="N101" s="2">
        <f t="shared" si="7"/>
        <v>0</v>
      </c>
      <c r="O101" s="2">
        <v>0</v>
      </c>
    </row>
    <row r="102" spans="1:15" hidden="1" x14ac:dyDescent="0.2">
      <c r="A102" s="2">
        <v>28</v>
      </c>
      <c r="B102" s="2">
        <f t="shared" si="4"/>
        <v>0</v>
      </c>
      <c r="C102" s="2">
        <v>1</v>
      </c>
      <c r="E102" s="2">
        <v>117</v>
      </c>
      <c r="F102" s="2">
        <f t="shared" si="5"/>
        <v>0</v>
      </c>
      <c r="G102" s="2">
        <v>1</v>
      </c>
      <c r="I102" s="2">
        <v>60</v>
      </c>
      <c r="J102" s="2">
        <f t="shared" si="6"/>
        <v>0</v>
      </c>
      <c r="K102" s="2">
        <v>1</v>
      </c>
      <c r="M102" s="2">
        <v>29</v>
      </c>
      <c r="N102" s="2">
        <f t="shared" si="7"/>
        <v>0</v>
      </c>
      <c r="O102" s="2">
        <v>1</v>
      </c>
    </row>
    <row r="103" spans="1:15" x14ac:dyDescent="0.2">
      <c r="A103" s="2">
        <v>63</v>
      </c>
      <c r="B103" s="2">
        <f t="shared" si="4"/>
        <v>1</v>
      </c>
      <c r="C103" s="2">
        <v>1</v>
      </c>
      <c r="E103" s="2">
        <v>107</v>
      </c>
      <c r="F103" s="2">
        <f t="shared" si="5"/>
        <v>0</v>
      </c>
      <c r="G103" s="2">
        <v>1</v>
      </c>
      <c r="I103" s="2">
        <v>113</v>
      </c>
      <c r="J103" s="2">
        <f t="shared" si="6"/>
        <v>1</v>
      </c>
      <c r="K103" s="2">
        <v>1</v>
      </c>
      <c r="M103" s="2">
        <v>40</v>
      </c>
      <c r="N103" s="2">
        <f t="shared" si="7"/>
        <v>1</v>
      </c>
      <c r="O103" s="2">
        <v>1</v>
      </c>
    </row>
    <row r="104" spans="1:15" hidden="1" x14ac:dyDescent="0.2">
      <c r="A104" s="2">
        <v>29</v>
      </c>
      <c r="B104" s="2">
        <f t="shared" si="4"/>
        <v>0</v>
      </c>
      <c r="C104" s="2">
        <v>0</v>
      </c>
      <c r="E104" s="2">
        <v>144</v>
      </c>
      <c r="F104" s="2">
        <f t="shared" si="5"/>
        <v>1</v>
      </c>
      <c r="G104" s="2">
        <v>0</v>
      </c>
      <c r="I104" s="2">
        <v>85</v>
      </c>
      <c r="J104" s="2">
        <f t="shared" si="6"/>
        <v>0</v>
      </c>
      <c r="K104" s="2">
        <v>0</v>
      </c>
      <c r="M104" s="2">
        <v>32</v>
      </c>
      <c r="N104" s="2">
        <f t="shared" si="7"/>
        <v>0</v>
      </c>
      <c r="O104" s="2">
        <v>0</v>
      </c>
    </row>
  </sheetData>
  <autoFilter ref="A15:P104" xr:uid="{3FAF4180-C902-E845-A40F-9721A4B835FF}">
    <filterColumn colId="1">
      <filters>
        <filter val="1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5FE0D-19D0-5149-AEF3-8755DE42AD82}">
  <dimension ref="A1:O60"/>
  <sheetViews>
    <sheetView workbookViewId="0">
      <selection activeCell="F5" sqref="F5"/>
    </sheetView>
  </sheetViews>
  <sheetFormatPr baseColWidth="10" defaultRowHeight="15" x14ac:dyDescent="0.2"/>
  <cols>
    <col min="1" max="10" width="10.83203125" style="2"/>
    <col min="11" max="11" width="12.6640625" style="2" bestFit="1" customWidth="1"/>
    <col min="12" max="16384" width="10.83203125" style="2"/>
  </cols>
  <sheetData>
    <row r="1" spans="1:15" x14ac:dyDescent="0.2">
      <c r="A1" s="39" t="s">
        <v>5</v>
      </c>
      <c r="B1" s="40">
        <f>+AVERAGE(A16:A5857)</f>
        <v>58.288888888888891</v>
      </c>
      <c r="E1" s="39" t="s">
        <v>5</v>
      </c>
      <c r="F1" s="40">
        <f>+AVERAGE(E16:E195)</f>
        <v>125.57777777777778</v>
      </c>
      <c r="I1" s="39" t="s">
        <v>5</v>
      </c>
      <c r="J1" s="40">
        <f>+AVERAGE(I16:I195)</f>
        <v>93.644444444444446</v>
      </c>
      <c r="M1" s="39" t="s">
        <v>5</v>
      </c>
      <c r="N1" s="40">
        <f>+AVERAGE(M16:M195)</f>
        <v>35.644444444444446</v>
      </c>
    </row>
    <row r="2" spans="1:15" x14ac:dyDescent="0.2">
      <c r="A2" s="5"/>
      <c r="E2" s="5"/>
      <c r="I2" s="5"/>
      <c r="M2" s="5"/>
    </row>
    <row r="3" spans="1:15" x14ac:dyDescent="0.2">
      <c r="A3" s="26" t="s">
        <v>6</v>
      </c>
      <c r="B3" s="19">
        <f>+COUNTIF(B$16:B$5857,0)</f>
        <v>21</v>
      </c>
      <c r="C3" s="20"/>
      <c r="E3" s="26" t="s">
        <v>6</v>
      </c>
      <c r="F3" s="19">
        <f>+COUNTIF(F$16:F$5857,0)</f>
        <v>22</v>
      </c>
      <c r="G3" s="20"/>
      <c r="I3" s="26" t="s">
        <v>6</v>
      </c>
      <c r="J3" s="19">
        <f>+COUNTIF(J$16:J$5857,0)</f>
        <v>24</v>
      </c>
      <c r="K3" s="20"/>
      <c r="M3" s="26" t="s">
        <v>6</v>
      </c>
      <c r="N3" s="19">
        <f>+COUNTIF(N$16:N$5857,0)</f>
        <v>19</v>
      </c>
      <c r="O3" s="20"/>
    </row>
    <row r="4" spans="1:15" x14ac:dyDescent="0.2">
      <c r="A4" s="21" t="s">
        <v>7</v>
      </c>
      <c r="B4" s="2">
        <f>+COUNTIFS(B$16:B$5857,0,C$16:C$5857,0)</f>
        <v>4</v>
      </c>
      <c r="C4" s="43">
        <f>B4/B3</f>
        <v>0.19047619047619047</v>
      </c>
      <c r="E4" s="21" t="s">
        <v>7</v>
      </c>
      <c r="F4" s="2">
        <f>+COUNTIFS(F$16:F$5857,0,G$16:G$5857,0)</f>
        <v>4</v>
      </c>
      <c r="G4" s="43">
        <f>F4/F3</f>
        <v>0.18181818181818182</v>
      </c>
      <c r="I4" s="21" t="s">
        <v>7</v>
      </c>
      <c r="J4" s="2">
        <f>+COUNTIFS(J$16:J$5857,0,K$16:K$5857,0)</f>
        <v>2</v>
      </c>
      <c r="K4" s="43">
        <f>J4/J3</f>
        <v>8.3333333333333329E-2</v>
      </c>
      <c r="M4" s="21" t="s">
        <v>7</v>
      </c>
      <c r="N4" s="2">
        <f>+COUNTIFS(N$16:N$5857,0,O$16:O$5857,0)</f>
        <v>2</v>
      </c>
      <c r="O4" s="43">
        <f>N4/N3</f>
        <v>0.10526315789473684</v>
      </c>
    </row>
    <row r="5" spans="1:15" x14ac:dyDescent="0.2">
      <c r="A5" s="21" t="s">
        <v>8</v>
      </c>
      <c r="B5" s="2">
        <f>+COUNTIFS(B$16:B$5857,0,C$16:C$5857,1)</f>
        <v>17</v>
      </c>
      <c r="C5" s="43">
        <f>1-C4</f>
        <v>0.80952380952380953</v>
      </c>
      <c r="E5" s="21" t="s">
        <v>8</v>
      </c>
      <c r="F5" s="2">
        <f>+COUNTIFS(F$16:F$5857,0,G$16:G$5857,1)</f>
        <v>18</v>
      </c>
      <c r="G5" s="43">
        <f>1-G4</f>
        <v>0.81818181818181812</v>
      </c>
      <c r="I5" s="21" t="s">
        <v>8</v>
      </c>
      <c r="J5" s="2">
        <f>+COUNTIFS(J$16:J$5857,0,K$16:K$5857,1)</f>
        <v>22</v>
      </c>
      <c r="K5" s="43">
        <f>1-K4</f>
        <v>0.91666666666666663</v>
      </c>
      <c r="M5" s="21" t="s">
        <v>8</v>
      </c>
      <c r="N5" s="2">
        <f>+COUNTIFS(N$16:N$5857,0,O$16:O$5857,1)</f>
        <v>17</v>
      </c>
      <c r="O5" s="43">
        <f>1-O4</f>
        <v>0.89473684210526316</v>
      </c>
    </row>
    <row r="6" spans="1:15" s="5" customFormat="1" x14ac:dyDescent="0.2">
      <c r="A6" s="25"/>
      <c r="B6" s="23" t="s">
        <v>9</v>
      </c>
      <c r="C6" s="33">
        <f>1-C4^2-C5^2</f>
        <v>0.30839002267573701</v>
      </c>
      <c r="E6" s="25"/>
      <c r="F6" s="23" t="s">
        <v>9</v>
      </c>
      <c r="G6" s="33">
        <f>1-G4^2-G5^2</f>
        <v>0.29752066115702491</v>
      </c>
      <c r="I6" s="25"/>
      <c r="J6" s="23" t="s">
        <v>9</v>
      </c>
      <c r="K6" s="33">
        <f>1-K4^2-K5^2</f>
        <v>0.1527777777777779</v>
      </c>
      <c r="M6" s="25"/>
      <c r="N6" s="23" t="s">
        <v>9</v>
      </c>
      <c r="O6" s="33">
        <f>1-O4^2-O5^2</f>
        <v>0.18836565096952906</v>
      </c>
    </row>
    <row r="8" spans="1:15" x14ac:dyDescent="0.2">
      <c r="A8" s="26" t="s">
        <v>10</v>
      </c>
      <c r="B8" s="19">
        <f>+COUNTIF(B$16:B$5857,1)</f>
        <v>24</v>
      </c>
      <c r="C8" s="20"/>
      <c r="E8" s="26" t="s">
        <v>10</v>
      </c>
      <c r="F8" s="19">
        <f>+COUNTIF(F$16:F$5857,1)</f>
        <v>23</v>
      </c>
      <c r="G8" s="20"/>
      <c r="I8" s="26" t="s">
        <v>10</v>
      </c>
      <c r="J8" s="19">
        <f>+COUNTIF(J$16:J$5857,1)</f>
        <v>21</v>
      </c>
      <c r="K8" s="20"/>
      <c r="M8" s="26" t="s">
        <v>10</v>
      </c>
      <c r="N8" s="19">
        <f>+COUNTIF(N$16:N$5857,1)</f>
        <v>26</v>
      </c>
      <c r="O8" s="20"/>
    </row>
    <row r="9" spans="1:15" x14ac:dyDescent="0.2">
      <c r="A9" s="21" t="s">
        <v>11</v>
      </c>
      <c r="B9" s="2">
        <f>+COUNTIFS(B$16:B$5857,1,C$16:C$5857,0)</f>
        <v>0</v>
      </c>
      <c r="C9" s="34">
        <f>B9/B8</f>
        <v>0</v>
      </c>
      <c r="E9" s="21" t="s">
        <v>11</v>
      </c>
      <c r="F9" s="2">
        <f>+COUNTIFS(F$16:F$5857,1,G$16:G$5857,0)</f>
        <v>0</v>
      </c>
      <c r="G9" s="34">
        <f>F9/F8</f>
        <v>0</v>
      </c>
      <c r="I9" s="21" t="s">
        <v>11</v>
      </c>
      <c r="J9" s="2">
        <f>+COUNTIFS(J$16:J$5857,1,K$16:K$5857,0)</f>
        <v>2</v>
      </c>
      <c r="K9" s="43">
        <f>J9/J8</f>
        <v>9.5238095238095233E-2</v>
      </c>
      <c r="M9" s="21" t="s">
        <v>11</v>
      </c>
      <c r="N9" s="2">
        <f>+COUNTIFS(N$16:N$5857,1,O$16:O$5857,0)</f>
        <v>2</v>
      </c>
      <c r="O9" s="43">
        <f>N9/N8</f>
        <v>7.6923076923076927E-2</v>
      </c>
    </row>
    <row r="10" spans="1:15" x14ac:dyDescent="0.2">
      <c r="A10" s="21" t="s">
        <v>12</v>
      </c>
      <c r="B10" s="2">
        <f>+COUNTIFS(B$16:B$5857,1,C$16:C$5857,1)</f>
        <v>24</v>
      </c>
      <c r="C10" s="34">
        <f>B10/B8</f>
        <v>1</v>
      </c>
      <c r="E10" s="21" t="s">
        <v>12</v>
      </c>
      <c r="F10" s="2">
        <f>+COUNTIFS(F$16:F$5857,1,G$16:G$5857,1)</f>
        <v>23</v>
      </c>
      <c r="G10" s="34">
        <f>F10/F8</f>
        <v>1</v>
      </c>
      <c r="I10" s="21" t="s">
        <v>12</v>
      </c>
      <c r="J10" s="2">
        <f>+COUNTIFS(J$16:J$5857,1,K$16:K$5857,1)</f>
        <v>19</v>
      </c>
      <c r="K10" s="43">
        <f>J10/J8</f>
        <v>0.90476190476190477</v>
      </c>
      <c r="M10" s="21" t="s">
        <v>12</v>
      </c>
      <c r="N10" s="2">
        <f>+COUNTIFS(N$16:N$5857,1,O$16:O$5857,1)</f>
        <v>24</v>
      </c>
      <c r="O10" s="43">
        <f>N10/N8</f>
        <v>0.92307692307692313</v>
      </c>
    </row>
    <row r="11" spans="1:15" s="5" customFormat="1" x14ac:dyDescent="0.2">
      <c r="A11" s="25"/>
      <c r="B11" s="23" t="s">
        <v>9</v>
      </c>
      <c r="C11" s="24">
        <f>1-C9^2-C10^2</f>
        <v>0</v>
      </c>
      <c r="E11" s="25"/>
      <c r="F11" s="23" t="s">
        <v>9</v>
      </c>
      <c r="G11" s="24">
        <f>1-G9^2-G10^2</f>
        <v>0</v>
      </c>
      <c r="I11" s="25"/>
      <c r="J11" s="23" t="s">
        <v>9</v>
      </c>
      <c r="K11" s="33">
        <f>1-K9^2-K10^2</f>
        <v>0.17233560090702937</v>
      </c>
      <c r="M11" s="25"/>
      <c r="N11" s="23" t="s">
        <v>9</v>
      </c>
      <c r="O11" s="33">
        <f>1-O9^2-O10^2</f>
        <v>0.14201183431952646</v>
      </c>
    </row>
    <row r="13" spans="1:15" s="5" customFormat="1" x14ac:dyDescent="0.2">
      <c r="A13" s="44" t="s">
        <v>13</v>
      </c>
      <c r="B13" s="45"/>
      <c r="C13" s="46">
        <f>+((B3*C6)+(B8*C11))/(B3+B8)</f>
        <v>0.14391534391534394</v>
      </c>
      <c r="E13" s="44" t="s">
        <v>13</v>
      </c>
      <c r="F13" s="45"/>
      <c r="G13" s="46">
        <f>+((F3*G6)+(F8*G11))/(F3+F8)</f>
        <v>0.14545454545454553</v>
      </c>
      <c r="I13" s="44" t="s">
        <v>13</v>
      </c>
      <c r="J13" s="45"/>
      <c r="K13" s="46">
        <f>+((J3*K6)+(J8*K11))/(J3+J8)</f>
        <v>0.16190476190476191</v>
      </c>
      <c r="M13" s="44" t="s">
        <v>13</v>
      </c>
      <c r="N13" s="45"/>
      <c r="O13" s="46">
        <f>+((N3*O6)+(N8*O11))/(N3+N8)</f>
        <v>0.16158344579397202</v>
      </c>
    </row>
    <row r="15" spans="1:15" s="5" customFormat="1" x14ac:dyDescent="0.2">
      <c r="A15" s="5" t="s">
        <v>1</v>
      </c>
      <c r="B15" s="5" t="s">
        <v>15</v>
      </c>
      <c r="C15" s="5" t="s">
        <v>0</v>
      </c>
      <c r="E15" s="5" t="s">
        <v>2</v>
      </c>
      <c r="F15" s="5" t="s">
        <v>15</v>
      </c>
      <c r="G15" s="5" t="s">
        <v>0</v>
      </c>
      <c r="I15" s="5" t="s">
        <v>3</v>
      </c>
      <c r="J15" s="5" t="s">
        <v>15</v>
      </c>
      <c r="K15" s="5" t="s">
        <v>0</v>
      </c>
      <c r="M15" s="5" t="s">
        <v>4</v>
      </c>
      <c r="N15" s="5" t="s">
        <v>15</v>
      </c>
      <c r="O15" s="5" t="s">
        <v>0</v>
      </c>
    </row>
    <row r="16" spans="1:15" x14ac:dyDescent="0.2">
      <c r="A16" s="2">
        <v>64</v>
      </c>
      <c r="B16" s="2">
        <f t="shared" ref="B16:B60" si="0">+IF(A16&gt;B$1,1,0)</f>
        <v>1</v>
      </c>
      <c r="C16" s="2">
        <v>1</v>
      </c>
      <c r="E16" s="2">
        <v>152</v>
      </c>
      <c r="F16" s="2">
        <f t="shared" ref="F16:F60" si="1">+IF(E16&gt;F$1,1,0)</f>
        <v>1</v>
      </c>
      <c r="G16" s="2">
        <v>1</v>
      </c>
      <c r="I16" s="2">
        <v>92</v>
      </c>
      <c r="J16" s="2">
        <f t="shared" ref="J16:J60" si="2">+IF(I16&gt;J$1,1,0)</f>
        <v>0</v>
      </c>
      <c r="K16" s="2">
        <v>1</v>
      </c>
      <c r="M16" s="2">
        <v>30</v>
      </c>
      <c r="N16" s="2">
        <f t="shared" ref="N16:N60" si="3">+IF(M16&gt;N$1,1,0)</f>
        <v>0</v>
      </c>
      <c r="O16" s="2">
        <v>1</v>
      </c>
    </row>
    <row r="17" spans="1:15" x14ac:dyDescent="0.2">
      <c r="A17" s="2">
        <v>65</v>
      </c>
      <c r="B17" s="2">
        <f t="shared" si="0"/>
        <v>1</v>
      </c>
      <c r="C17" s="2">
        <v>1</v>
      </c>
      <c r="E17" s="2">
        <v>136</v>
      </c>
      <c r="F17" s="2">
        <f t="shared" si="1"/>
        <v>1</v>
      </c>
      <c r="G17" s="2">
        <v>1</v>
      </c>
      <c r="I17" s="2">
        <v>92</v>
      </c>
      <c r="J17" s="2">
        <f t="shared" si="2"/>
        <v>0</v>
      </c>
      <c r="K17" s="2">
        <v>1</v>
      </c>
      <c r="M17" s="2">
        <v>33</v>
      </c>
      <c r="N17" s="2">
        <f t="shared" si="3"/>
        <v>0</v>
      </c>
      <c r="O17" s="2">
        <v>1</v>
      </c>
    </row>
    <row r="18" spans="1:15" x14ac:dyDescent="0.2">
      <c r="A18" s="2">
        <v>55</v>
      </c>
      <c r="B18" s="2">
        <f t="shared" si="0"/>
        <v>0</v>
      </c>
      <c r="C18" s="2">
        <v>1</v>
      </c>
      <c r="E18" s="2">
        <v>142</v>
      </c>
      <c r="F18" s="2">
        <f t="shared" si="1"/>
        <v>1</v>
      </c>
      <c r="G18" s="2">
        <v>1</v>
      </c>
      <c r="I18" s="2">
        <v>88</v>
      </c>
      <c r="J18" s="2">
        <f t="shared" si="2"/>
        <v>0</v>
      </c>
      <c r="K18" s="2">
        <v>1</v>
      </c>
      <c r="M18" s="2">
        <v>36</v>
      </c>
      <c r="N18" s="2">
        <f t="shared" si="3"/>
        <v>1</v>
      </c>
      <c r="O18" s="2">
        <v>1</v>
      </c>
    </row>
    <row r="19" spans="1:15" x14ac:dyDescent="0.2">
      <c r="A19" s="2">
        <v>61</v>
      </c>
      <c r="B19" s="2">
        <f t="shared" si="0"/>
        <v>1</v>
      </c>
      <c r="C19" s="2">
        <v>1</v>
      </c>
      <c r="E19" s="2">
        <v>139</v>
      </c>
      <c r="F19" s="2">
        <f t="shared" si="1"/>
        <v>1</v>
      </c>
      <c r="G19" s="2">
        <v>1</v>
      </c>
      <c r="I19" s="2">
        <v>117</v>
      </c>
      <c r="J19" s="2">
        <f t="shared" si="2"/>
        <v>1</v>
      </c>
      <c r="K19" s="2">
        <v>1</v>
      </c>
      <c r="M19" s="2">
        <v>38</v>
      </c>
      <c r="N19" s="2">
        <f t="shared" si="3"/>
        <v>1</v>
      </c>
      <c r="O19" s="2">
        <v>1</v>
      </c>
    </row>
    <row r="20" spans="1:15" x14ac:dyDescent="0.2">
      <c r="A20" s="2">
        <v>62</v>
      </c>
      <c r="B20" s="2">
        <f t="shared" si="0"/>
        <v>1</v>
      </c>
      <c r="C20" s="2">
        <v>1</v>
      </c>
      <c r="E20" s="2">
        <v>126</v>
      </c>
      <c r="F20" s="2">
        <f t="shared" si="1"/>
        <v>1</v>
      </c>
      <c r="G20" s="2">
        <v>1</v>
      </c>
      <c r="I20" s="2">
        <v>120</v>
      </c>
      <c r="J20" s="2">
        <f t="shared" si="2"/>
        <v>1</v>
      </c>
      <c r="K20" s="2">
        <v>1</v>
      </c>
      <c r="M20" s="2">
        <v>37</v>
      </c>
      <c r="N20" s="2">
        <f t="shared" si="3"/>
        <v>1</v>
      </c>
      <c r="O20" s="2">
        <v>1</v>
      </c>
    </row>
    <row r="21" spans="1:15" x14ac:dyDescent="0.2">
      <c r="A21" s="2">
        <v>60</v>
      </c>
      <c r="B21" s="2">
        <f t="shared" si="0"/>
        <v>1</v>
      </c>
      <c r="C21" s="2">
        <v>1</v>
      </c>
      <c r="E21" s="2">
        <v>155</v>
      </c>
      <c r="F21" s="2">
        <f t="shared" si="1"/>
        <v>1</v>
      </c>
      <c r="G21" s="2">
        <v>1</v>
      </c>
      <c r="I21" s="2">
        <v>69</v>
      </c>
      <c r="J21" s="2">
        <f t="shared" si="2"/>
        <v>0</v>
      </c>
      <c r="K21" s="2">
        <v>1</v>
      </c>
      <c r="M21" s="2">
        <v>37</v>
      </c>
      <c r="N21" s="2">
        <f t="shared" si="3"/>
        <v>1</v>
      </c>
      <c r="O21" s="2">
        <v>1</v>
      </c>
    </row>
    <row r="22" spans="1:15" x14ac:dyDescent="0.2">
      <c r="A22" s="2">
        <v>47</v>
      </c>
      <c r="B22" s="2">
        <f t="shared" si="0"/>
        <v>0</v>
      </c>
      <c r="C22" s="2">
        <v>1</v>
      </c>
      <c r="E22" s="2">
        <v>115</v>
      </c>
      <c r="F22" s="2">
        <f t="shared" si="1"/>
        <v>0</v>
      </c>
      <c r="G22" s="2">
        <v>1</v>
      </c>
      <c r="I22" s="2">
        <v>104</v>
      </c>
      <c r="J22" s="2">
        <f t="shared" si="2"/>
        <v>1</v>
      </c>
      <c r="K22" s="2">
        <v>1</v>
      </c>
      <c r="M22" s="2">
        <v>40</v>
      </c>
      <c r="N22" s="2">
        <f t="shared" si="3"/>
        <v>1</v>
      </c>
      <c r="O22" s="2">
        <v>1</v>
      </c>
    </row>
    <row r="23" spans="1:15" x14ac:dyDescent="0.2">
      <c r="A23" s="2">
        <v>60</v>
      </c>
      <c r="B23" s="2">
        <f t="shared" si="0"/>
        <v>1</v>
      </c>
      <c r="C23" s="2">
        <v>1</v>
      </c>
      <c r="E23" s="2">
        <v>127</v>
      </c>
      <c r="F23" s="2">
        <f t="shared" si="1"/>
        <v>1</v>
      </c>
      <c r="G23" s="2">
        <v>1</v>
      </c>
      <c r="I23" s="2">
        <v>103</v>
      </c>
      <c r="J23" s="2">
        <f t="shared" si="2"/>
        <v>1</v>
      </c>
      <c r="K23" s="2">
        <v>1</v>
      </c>
      <c r="M23" s="2">
        <v>31</v>
      </c>
      <c r="N23" s="2">
        <f t="shared" si="3"/>
        <v>0</v>
      </c>
      <c r="O23" s="2">
        <v>1</v>
      </c>
    </row>
    <row r="24" spans="1:15" x14ac:dyDescent="0.2">
      <c r="A24" s="2">
        <v>56</v>
      </c>
      <c r="B24" s="2">
        <f t="shared" si="0"/>
        <v>0</v>
      </c>
      <c r="C24" s="2">
        <v>1</v>
      </c>
      <c r="E24" s="2">
        <v>103</v>
      </c>
      <c r="F24" s="2">
        <f t="shared" si="1"/>
        <v>0</v>
      </c>
      <c r="G24" s="2">
        <v>1</v>
      </c>
      <c r="I24" s="2">
        <v>75</v>
      </c>
      <c r="J24" s="2">
        <f t="shared" si="2"/>
        <v>0</v>
      </c>
      <c r="K24" s="2">
        <v>1</v>
      </c>
      <c r="M24" s="2">
        <v>38</v>
      </c>
      <c r="N24" s="2">
        <f t="shared" si="3"/>
        <v>1</v>
      </c>
      <c r="O24" s="2">
        <v>1</v>
      </c>
    </row>
    <row r="25" spans="1:15" x14ac:dyDescent="0.2">
      <c r="A25" s="2">
        <v>65</v>
      </c>
      <c r="B25" s="2">
        <f t="shared" si="0"/>
        <v>1</v>
      </c>
      <c r="C25" s="2">
        <v>1</v>
      </c>
      <c r="E25" s="2">
        <v>132</v>
      </c>
      <c r="F25" s="2">
        <f t="shared" si="1"/>
        <v>1</v>
      </c>
      <c r="G25" s="2">
        <v>1</v>
      </c>
      <c r="I25" s="2">
        <v>102</v>
      </c>
      <c r="J25" s="2">
        <f t="shared" si="2"/>
        <v>1</v>
      </c>
      <c r="K25" s="2">
        <v>1</v>
      </c>
      <c r="M25" s="2">
        <v>40</v>
      </c>
      <c r="N25" s="2">
        <f t="shared" si="3"/>
        <v>1</v>
      </c>
      <c r="O25" s="2">
        <v>1</v>
      </c>
    </row>
    <row r="26" spans="1:15" x14ac:dyDescent="0.2">
      <c r="A26" s="2">
        <v>55</v>
      </c>
      <c r="B26" s="2">
        <f t="shared" si="0"/>
        <v>0</v>
      </c>
      <c r="C26" s="2">
        <v>1</v>
      </c>
      <c r="E26" s="2">
        <v>133</v>
      </c>
      <c r="F26" s="2">
        <f t="shared" si="1"/>
        <v>1</v>
      </c>
      <c r="G26" s="2">
        <v>1</v>
      </c>
      <c r="I26" s="2">
        <v>93</v>
      </c>
      <c r="J26" s="2">
        <f t="shared" si="2"/>
        <v>0</v>
      </c>
      <c r="K26" s="2">
        <v>1</v>
      </c>
      <c r="M26" s="2">
        <v>40</v>
      </c>
      <c r="N26" s="2">
        <f t="shared" si="3"/>
        <v>1</v>
      </c>
      <c r="O26" s="2">
        <v>1</v>
      </c>
    </row>
    <row r="27" spans="1:15" x14ac:dyDescent="0.2">
      <c r="A27" s="2">
        <v>62</v>
      </c>
      <c r="B27" s="2">
        <f t="shared" si="0"/>
        <v>1</v>
      </c>
      <c r="C27" s="2">
        <v>1</v>
      </c>
      <c r="E27" s="2">
        <v>114</v>
      </c>
      <c r="F27" s="2">
        <f t="shared" si="1"/>
        <v>0</v>
      </c>
      <c r="G27" s="2">
        <v>1</v>
      </c>
      <c r="I27" s="2">
        <v>124</v>
      </c>
      <c r="J27" s="2">
        <f t="shared" si="2"/>
        <v>1</v>
      </c>
      <c r="K27" s="2">
        <v>1</v>
      </c>
      <c r="M27" s="2">
        <v>35</v>
      </c>
      <c r="N27" s="2">
        <f t="shared" si="3"/>
        <v>0</v>
      </c>
      <c r="O27" s="2">
        <v>1</v>
      </c>
    </row>
    <row r="28" spans="1:15" x14ac:dyDescent="0.2">
      <c r="A28" s="2">
        <v>55</v>
      </c>
      <c r="B28" s="2">
        <f t="shared" si="0"/>
        <v>0</v>
      </c>
      <c r="C28" s="2">
        <v>1</v>
      </c>
      <c r="E28" s="2">
        <v>127</v>
      </c>
      <c r="F28" s="2">
        <f t="shared" si="1"/>
        <v>1</v>
      </c>
      <c r="G28" s="2">
        <v>1</v>
      </c>
      <c r="I28" s="2">
        <v>92</v>
      </c>
      <c r="J28" s="2">
        <f t="shared" si="2"/>
        <v>0</v>
      </c>
      <c r="K28" s="2">
        <v>1</v>
      </c>
      <c r="M28" s="2">
        <v>41</v>
      </c>
      <c r="N28" s="2">
        <f t="shared" si="3"/>
        <v>1</v>
      </c>
      <c r="O28" s="2">
        <v>1</v>
      </c>
    </row>
    <row r="29" spans="1:15" x14ac:dyDescent="0.2">
      <c r="A29" s="2">
        <v>57</v>
      </c>
      <c r="B29" s="2">
        <f t="shared" si="0"/>
        <v>0</v>
      </c>
      <c r="C29" s="2">
        <v>1</v>
      </c>
      <c r="E29" s="2">
        <v>118</v>
      </c>
      <c r="F29" s="2">
        <f t="shared" si="1"/>
        <v>0</v>
      </c>
      <c r="G29" s="2">
        <v>1</v>
      </c>
      <c r="I29" s="2">
        <v>88</v>
      </c>
      <c r="J29" s="2">
        <f t="shared" si="2"/>
        <v>0</v>
      </c>
      <c r="K29" s="2">
        <v>1</v>
      </c>
      <c r="M29" s="2">
        <v>41</v>
      </c>
      <c r="N29" s="2">
        <f t="shared" si="3"/>
        <v>1</v>
      </c>
      <c r="O29" s="2">
        <v>1</v>
      </c>
    </row>
    <row r="30" spans="1:15" x14ac:dyDescent="0.2">
      <c r="A30" s="2">
        <v>55</v>
      </c>
      <c r="B30" s="2">
        <f t="shared" si="0"/>
        <v>0</v>
      </c>
      <c r="C30" s="2">
        <v>1</v>
      </c>
      <c r="E30" s="2">
        <v>120</v>
      </c>
      <c r="F30" s="2">
        <f t="shared" si="1"/>
        <v>0</v>
      </c>
      <c r="G30" s="2">
        <v>1</v>
      </c>
      <c r="I30" s="2">
        <v>86</v>
      </c>
      <c r="J30" s="2">
        <f t="shared" si="2"/>
        <v>0</v>
      </c>
      <c r="K30" s="2">
        <v>1</v>
      </c>
      <c r="M30" s="2">
        <v>32</v>
      </c>
      <c r="N30" s="2">
        <f t="shared" si="3"/>
        <v>0</v>
      </c>
      <c r="O30" s="2">
        <v>1</v>
      </c>
    </row>
    <row r="31" spans="1:15" x14ac:dyDescent="0.2">
      <c r="A31" s="2">
        <v>59</v>
      </c>
      <c r="B31" s="2">
        <f t="shared" si="0"/>
        <v>1</v>
      </c>
      <c r="C31" s="2">
        <v>1</v>
      </c>
      <c r="E31" s="2">
        <v>130</v>
      </c>
      <c r="F31" s="2">
        <f t="shared" si="1"/>
        <v>1</v>
      </c>
      <c r="G31" s="2">
        <v>1</v>
      </c>
      <c r="I31" s="2">
        <v>65</v>
      </c>
      <c r="J31" s="2">
        <f t="shared" si="2"/>
        <v>0</v>
      </c>
      <c r="K31" s="2">
        <v>1</v>
      </c>
      <c r="M31" s="2">
        <v>36</v>
      </c>
      <c r="N31" s="2">
        <f t="shared" si="3"/>
        <v>1</v>
      </c>
      <c r="O31" s="2">
        <v>1</v>
      </c>
    </row>
    <row r="32" spans="1:15" x14ac:dyDescent="0.2">
      <c r="A32" s="2">
        <v>59</v>
      </c>
      <c r="B32" s="2">
        <f t="shared" si="0"/>
        <v>1</v>
      </c>
      <c r="C32" s="2">
        <v>1</v>
      </c>
      <c r="E32" s="2">
        <v>149</v>
      </c>
      <c r="F32" s="2">
        <f t="shared" si="1"/>
        <v>1</v>
      </c>
      <c r="G32" s="2">
        <v>1</v>
      </c>
      <c r="I32" s="2">
        <v>128</v>
      </c>
      <c r="J32" s="2">
        <f t="shared" si="2"/>
        <v>1</v>
      </c>
      <c r="K32" s="2">
        <v>1</v>
      </c>
      <c r="M32" s="2">
        <v>37</v>
      </c>
      <c r="N32" s="2">
        <f t="shared" si="3"/>
        <v>1</v>
      </c>
      <c r="O32" s="2">
        <v>1</v>
      </c>
    </row>
    <row r="33" spans="1:15" x14ac:dyDescent="0.2">
      <c r="A33" s="2">
        <v>55</v>
      </c>
      <c r="B33" s="2">
        <f t="shared" si="0"/>
        <v>0</v>
      </c>
      <c r="C33" s="2">
        <v>1</v>
      </c>
      <c r="E33" s="2">
        <v>115</v>
      </c>
      <c r="F33" s="2">
        <f t="shared" si="1"/>
        <v>0</v>
      </c>
      <c r="G33" s="2">
        <v>1</v>
      </c>
      <c r="I33" s="2">
        <v>81</v>
      </c>
      <c r="J33" s="2">
        <f t="shared" si="2"/>
        <v>0</v>
      </c>
      <c r="K33" s="2">
        <v>1</v>
      </c>
      <c r="M33" s="2">
        <v>32</v>
      </c>
      <c r="N33" s="2">
        <f t="shared" si="3"/>
        <v>0</v>
      </c>
      <c r="O33" s="2">
        <v>1</v>
      </c>
    </row>
    <row r="34" spans="1:15" x14ac:dyDescent="0.2">
      <c r="A34" s="2">
        <v>62</v>
      </c>
      <c r="B34" s="2">
        <f t="shared" si="0"/>
        <v>1</v>
      </c>
      <c r="C34" s="2">
        <v>1</v>
      </c>
      <c r="E34" s="2">
        <v>109</v>
      </c>
      <c r="F34" s="2">
        <f t="shared" si="1"/>
        <v>0</v>
      </c>
      <c r="G34" s="2">
        <v>1</v>
      </c>
      <c r="I34" s="2">
        <v>110</v>
      </c>
      <c r="J34" s="2">
        <f t="shared" si="2"/>
        <v>1</v>
      </c>
      <c r="K34" s="2">
        <v>1</v>
      </c>
      <c r="M34" s="2">
        <v>38</v>
      </c>
      <c r="N34" s="2">
        <f t="shared" si="3"/>
        <v>1</v>
      </c>
      <c r="O34" s="2">
        <v>1</v>
      </c>
    </row>
    <row r="35" spans="1:15" x14ac:dyDescent="0.2">
      <c r="A35" s="2">
        <v>60</v>
      </c>
      <c r="B35" s="2">
        <f t="shared" si="0"/>
        <v>1</v>
      </c>
      <c r="C35" s="2">
        <v>1</v>
      </c>
      <c r="E35" s="2">
        <v>130</v>
      </c>
      <c r="F35" s="2">
        <f t="shared" si="1"/>
        <v>1</v>
      </c>
      <c r="G35" s="2">
        <v>1</v>
      </c>
      <c r="I35" s="2">
        <v>69</v>
      </c>
      <c r="J35" s="2">
        <f t="shared" si="2"/>
        <v>0</v>
      </c>
      <c r="K35" s="2">
        <v>1</v>
      </c>
      <c r="M35" s="2">
        <v>35</v>
      </c>
      <c r="N35" s="2">
        <f t="shared" si="3"/>
        <v>0</v>
      </c>
      <c r="O35" s="2">
        <v>1</v>
      </c>
    </row>
    <row r="36" spans="1:15" x14ac:dyDescent="0.2">
      <c r="A36" s="2">
        <v>61</v>
      </c>
      <c r="B36" s="2">
        <f t="shared" si="0"/>
        <v>1</v>
      </c>
      <c r="C36" s="2">
        <v>1</v>
      </c>
      <c r="E36" s="2">
        <v>124</v>
      </c>
      <c r="F36" s="2">
        <f t="shared" si="1"/>
        <v>0</v>
      </c>
      <c r="G36" s="2">
        <v>1</v>
      </c>
      <c r="I36" s="2">
        <v>95</v>
      </c>
      <c r="J36" s="2">
        <f t="shared" si="2"/>
        <v>1</v>
      </c>
      <c r="K36" s="2">
        <v>1</v>
      </c>
      <c r="M36" s="2">
        <v>36</v>
      </c>
      <c r="N36" s="2">
        <f t="shared" si="3"/>
        <v>1</v>
      </c>
      <c r="O36" s="2">
        <v>1</v>
      </c>
    </row>
    <row r="37" spans="1:15" x14ac:dyDescent="0.2">
      <c r="A37" s="2">
        <v>53</v>
      </c>
      <c r="B37" s="2">
        <f t="shared" si="0"/>
        <v>0</v>
      </c>
      <c r="C37" s="2">
        <v>1</v>
      </c>
      <c r="E37" s="2">
        <v>150</v>
      </c>
      <c r="F37" s="2">
        <f t="shared" si="1"/>
        <v>1</v>
      </c>
      <c r="G37" s="2">
        <v>1</v>
      </c>
      <c r="I37" s="2">
        <v>81</v>
      </c>
      <c r="J37" s="2">
        <f t="shared" si="2"/>
        <v>0</v>
      </c>
      <c r="K37" s="2">
        <v>1</v>
      </c>
      <c r="M37" s="2">
        <v>41</v>
      </c>
      <c r="N37" s="2">
        <f t="shared" si="3"/>
        <v>1</v>
      </c>
      <c r="O37" s="2">
        <v>1</v>
      </c>
    </row>
    <row r="38" spans="1:15" x14ac:dyDescent="0.2">
      <c r="A38" s="2">
        <v>69</v>
      </c>
      <c r="B38" s="2">
        <f t="shared" si="0"/>
        <v>1</v>
      </c>
      <c r="C38" s="2">
        <v>1</v>
      </c>
      <c r="E38" s="2">
        <v>132</v>
      </c>
      <c r="F38" s="2">
        <f t="shared" si="1"/>
        <v>1</v>
      </c>
      <c r="G38" s="2">
        <v>1</v>
      </c>
      <c r="I38" s="2">
        <v>90</v>
      </c>
      <c r="J38" s="2">
        <f t="shared" si="2"/>
        <v>0</v>
      </c>
      <c r="K38" s="2">
        <v>1</v>
      </c>
      <c r="M38" s="2">
        <v>36</v>
      </c>
      <c r="N38" s="2">
        <f t="shared" si="3"/>
        <v>1</v>
      </c>
      <c r="O38" s="2">
        <v>1</v>
      </c>
    </row>
    <row r="39" spans="1:15" x14ac:dyDescent="0.2">
      <c r="A39" s="2">
        <v>56</v>
      </c>
      <c r="B39" s="2">
        <f t="shared" si="0"/>
        <v>0</v>
      </c>
      <c r="C39" s="2">
        <v>1</v>
      </c>
      <c r="E39" s="2">
        <v>131</v>
      </c>
      <c r="F39" s="2">
        <f t="shared" si="1"/>
        <v>1</v>
      </c>
      <c r="G39" s="2">
        <v>1</v>
      </c>
      <c r="I39" s="2">
        <v>101</v>
      </c>
      <c r="J39" s="2">
        <f t="shared" si="2"/>
        <v>1</v>
      </c>
      <c r="K39" s="2">
        <v>1</v>
      </c>
      <c r="M39" s="2">
        <v>32</v>
      </c>
      <c r="N39" s="2">
        <f t="shared" si="3"/>
        <v>0</v>
      </c>
      <c r="O39" s="2">
        <v>1</v>
      </c>
    </row>
    <row r="40" spans="1:15" x14ac:dyDescent="0.2">
      <c r="A40" s="2">
        <v>57</v>
      </c>
      <c r="B40" s="2">
        <f t="shared" si="0"/>
        <v>0</v>
      </c>
      <c r="C40" s="2">
        <v>1</v>
      </c>
      <c r="E40" s="2">
        <v>117</v>
      </c>
      <c r="F40" s="2">
        <f t="shared" si="1"/>
        <v>0</v>
      </c>
      <c r="G40" s="2">
        <v>1</v>
      </c>
      <c r="I40" s="2">
        <v>101</v>
      </c>
      <c r="J40" s="2">
        <f t="shared" si="2"/>
        <v>1</v>
      </c>
      <c r="K40" s="2">
        <v>1</v>
      </c>
      <c r="M40" s="2">
        <v>30</v>
      </c>
      <c r="N40" s="2">
        <f t="shared" si="3"/>
        <v>0</v>
      </c>
      <c r="O40" s="2">
        <v>1</v>
      </c>
    </row>
    <row r="41" spans="1:15" x14ac:dyDescent="0.2">
      <c r="A41" s="2">
        <v>51</v>
      </c>
      <c r="B41" s="2">
        <f t="shared" si="0"/>
        <v>0</v>
      </c>
      <c r="C41" s="2">
        <v>1</v>
      </c>
      <c r="E41" s="2">
        <v>102</v>
      </c>
      <c r="F41" s="2">
        <f t="shared" si="1"/>
        <v>0</v>
      </c>
      <c r="G41" s="2">
        <v>1</v>
      </c>
      <c r="I41" s="2">
        <v>101</v>
      </c>
      <c r="J41" s="2">
        <f t="shared" si="2"/>
        <v>1</v>
      </c>
      <c r="K41" s="2">
        <v>1</v>
      </c>
      <c r="M41" s="2">
        <v>33</v>
      </c>
      <c r="N41" s="2">
        <f t="shared" si="3"/>
        <v>0</v>
      </c>
      <c r="O41" s="2">
        <v>1</v>
      </c>
    </row>
    <row r="42" spans="1:15" x14ac:dyDescent="0.2">
      <c r="A42" s="2">
        <v>62</v>
      </c>
      <c r="B42" s="2">
        <f t="shared" si="0"/>
        <v>1</v>
      </c>
      <c r="C42" s="2">
        <v>1</v>
      </c>
      <c r="E42" s="2">
        <v>129</v>
      </c>
      <c r="F42" s="2">
        <f t="shared" si="1"/>
        <v>1</v>
      </c>
      <c r="G42" s="2">
        <v>1</v>
      </c>
      <c r="I42" s="2">
        <v>117</v>
      </c>
      <c r="J42" s="2">
        <f t="shared" si="2"/>
        <v>1</v>
      </c>
      <c r="K42" s="2">
        <v>1</v>
      </c>
      <c r="M42" s="2">
        <v>34</v>
      </c>
      <c r="N42" s="2">
        <f t="shared" si="3"/>
        <v>0</v>
      </c>
      <c r="O42" s="2">
        <v>1</v>
      </c>
    </row>
    <row r="43" spans="1:15" x14ac:dyDescent="0.2">
      <c r="A43" s="2">
        <v>68</v>
      </c>
      <c r="B43" s="2">
        <f t="shared" si="0"/>
        <v>1</v>
      </c>
      <c r="C43" s="2">
        <v>1</v>
      </c>
      <c r="E43" s="2">
        <v>131</v>
      </c>
      <c r="F43" s="2">
        <f t="shared" si="1"/>
        <v>1</v>
      </c>
      <c r="G43" s="2">
        <v>1</v>
      </c>
      <c r="I43" s="2">
        <v>65</v>
      </c>
      <c r="J43" s="2">
        <f t="shared" si="2"/>
        <v>0</v>
      </c>
      <c r="K43" s="2">
        <v>1</v>
      </c>
      <c r="M43" s="2">
        <v>29</v>
      </c>
      <c r="N43" s="2">
        <f t="shared" si="3"/>
        <v>0</v>
      </c>
      <c r="O43" s="2">
        <v>1</v>
      </c>
    </row>
    <row r="44" spans="1:15" x14ac:dyDescent="0.2">
      <c r="A44" s="2">
        <v>60</v>
      </c>
      <c r="B44" s="2">
        <f t="shared" si="0"/>
        <v>1</v>
      </c>
      <c r="C44" s="2">
        <v>1</v>
      </c>
      <c r="E44" s="2">
        <v>123</v>
      </c>
      <c r="F44" s="2">
        <f t="shared" si="1"/>
        <v>0</v>
      </c>
      <c r="G44" s="2">
        <v>1</v>
      </c>
      <c r="I44" s="2">
        <v>115</v>
      </c>
      <c r="J44" s="2">
        <f t="shared" si="2"/>
        <v>1</v>
      </c>
      <c r="K44" s="2">
        <v>1</v>
      </c>
      <c r="M44" s="2">
        <v>38</v>
      </c>
      <c r="N44" s="2">
        <f t="shared" si="3"/>
        <v>1</v>
      </c>
      <c r="O44" s="2">
        <v>1</v>
      </c>
    </row>
    <row r="45" spans="1:15" x14ac:dyDescent="0.2">
      <c r="A45" s="2">
        <v>60</v>
      </c>
      <c r="B45" s="2">
        <f t="shared" si="0"/>
        <v>1</v>
      </c>
      <c r="C45" s="2">
        <v>1</v>
      </c>
      <c r="E45" s="2">
        <v>108</v>
      </c>
      <c r="F45" s="2">
        <f t="shared" si="1"/>
        <v>0</v>
      </c>
      <c r="G45" s="2">
        <v>1</v>
      </c>
      <c r="I45" s="2">
        <v>72</v>
      </c>
      <c r="J45" s="2">
        <f t="shared" si="2"/>
        <v>0</v>
      </c>
      <c r="K45" s="2">
        <v>1</v>
      </c>
      <c r="M45" s="2">
        <v>30</v>
      </c>
      <c r="N45" s="2">
        <f t="shared" si="3"/>
        <v>0</v>
      </c>
      <c r="O45" s="2">
        <v>1</v>
      </c>
    </row>
    <row r="46" spans="1:15" x14ac:dyDescent="0.2">
      <c r="A46" s="2">
        <v>57</v>
      </c>
      <c r="B46" s="2">
        <f t="shared" si="0"/>
        <v>0</v>
      </c>
      <c r="C46" s="2">
        <v>1</v>
      </c>
      <c r="E46" s="2">
        <v>116</v>
      </c>
      <c r="F46" s="2">
        <f t="shared" si="1"/>
        <v>0</v>
      </c>
      <c r="G46" s="2">
        <v>1</v>
      </c>
      <c r="I46" s="2">
        <v>107</v>
      </c>
      <c r="J46" s="2">
        <f t="shared" si="2"/>
        <v>1</v>
      </c>
      <c r="K46" s="2">
        <v>1</v>
      </c>
      <c r="M46" s="2">
        <v>29</v>
      </c>
      <c r="N46" s="2">
        <f t="shared" si="3"/>
        <v>0</v>
      </c>
      <c r="O46" s="2">
        <v>1</v>
      </c>
    </row>
    <row r="47" spans="1:15" x14ac:dyDescent="0.2">
      <c r="A47" s="2">
        <v>60</v>
      </c>
      <c r="B47" s="2">
        <f t="shared" si="0"/>
        <v>1</v>
      </c>
      <c r="C47" s="2">
        <v>1</v>
      </c>
      <c r="E47" s="2">
        <v>126</v>
      </c>
      <c r="F47" s="2">
        <f t="shared" si="1"/>
        <v>1</v>
      </c>
      <c r="G47" s="2">
        <v>1</v>
      </c>
      <c r="I47" s="2">
        <v>68</v>
      </c>
      <c r="J47" s="2">
        <f t="shared" si="2"/>
        <v>0</v>
      </c>
      <c r="K47" s="2">
        <v>1</v>
      </c>
      <c r="M47" s="2">
        <v>35</v>
      </c>
      <c r="N47" s="2">
        <f t="shared" si="3"/>
        <v>0</v>
      </c>
      <c r="O47" s="2">
        <v>1</v>
      </c>
    </row>
    <row r="48" spans="1:15" x14ac:dyDescent="0.2">
      <c r="A48" s="2">
        <v>52</v>
      </c>
      <c r="B48" s="2">
        <f t="shared" si="0"/>
        <v>0</v>
      </c>
      <c r="C48" s="2">
        <v>0</v>
      </c>
      <c r="E48" s="2">
        <v>122</v>
      </c>
      <c r="F48" s="2">
        <f t="shared" si="1"/>
        <v>0</v>
      </c>
      <c r="G48" s="2">
        <v>0</v>
      </c>
      <c r="I48" s="2">
        <v>104</v>
      </c>
      <c r="J48" s="2">
        <f t="shared" si="2"/>
        <v>1</v>
      </c>
      <c r="K48" s="2">
        <v>0</v>
      </c>
      <c r="M48" s="2">
        <v>40</v>
      </c>
      <c r="N48" s="2">
        <f t="shared" si="3"/>
        <v>1</v>
      </c>
      <c r="O48" s="2">
        <v>0</v>
      </c>
    </row>
    <row r="49" spans="1:15" x14ac:dyDescent="0.2">
      <c r="A49" s="2">
        <v>53</v>
      </c>
      <c r="B49" s="2">
        <f t="shared" si="0"/>
        <v>0</v>
      </c>
      <c r="C49" s="2">
        <v>1</v>
      </c>
      <c r="E49" s="2">
        <v>113</v>
      </c>
      <c r="F49" s="2">
        <f t="shared" si="1"/>
        <v>0</v>
      </c>
      <c r="G49" s="2">
        <v>1</v>
      </c>
      <c r="I49" s="2">
        <v>81</v>
      </c>
      <c r="J49" s="2">
        <f t="shared" si="2"/>
        <v>0</v>
      </c>
      <c r="K49" s="2">
        <v>1</v>
      </c>
      <c r="M49" s="2">
        <v>39</v>
      </c>
      <c r="N49" s="2">
        <f t="shared" si="3"/>
        <v>1</v>
      </c>
      <c r="O49" s="2">
        <v>1</v>
      </c>
    </row>
    <row r="50" spans="1:15" x14ac:dyDescent="0.2">
      <c r="A50" s="2">
        <v>47</v>
      </c>
      <c r="B50" s="2">
        <f t="shared" si="0"/>
        <v>0</v>
      </c>
      <c r="C50" s="2">
        <v>0</v>
      </c>
      <c r="E50" s="2">
        <v>117</v>
      </c>
      <c r="F50" s="2">
        <f t="shared" si="1"/>
        <v>0</v>
      </c>
      <c r="G50" s="2">
        <v>0</v>
      </c>
      <c r="I50" s="2">
        <v>113</v>
      </c>
      <c r="J50" s="2">
        <f t="shared" si="2"/>
        <v>1</v>
      </c>
      <c r="K50" s="2">
        <v>0</v>
      </c>
      <c r="M50" s="2">
        <v>34</v>
      </c>
      <c r="N50" s="2">
        <f t="shared" si="3"/>
        <v>0</v>
      </c>
      <c r="O50" s="2">
        <v>0</v>
      </c>
    </row>
    <row r="51" spans="1:15" x14ac:dyDescent="0.2">
      <c r="A51" s="2">
        <v>51</v>
      </c>
      <c r="B51" s="2">
        <f t="shared" si="0"/>
        <v>0</v>
      </c>
      <c r="C51" s="2">
        <v>1</v>
      </c>
      <c r="E51" s="2">
        <v>115</v>
      </c>
      <c r="F51" s="2">
        <f t="shared" si="1"/>
        <v>0</v>
      </c>
      <c r="G51" s="2">
        <v>1</v>
      </c>
      <c r="I51" s="2">
        <v>83</v>
      </c>
      <c r="J51" s="2">
        <f t="shared" si="2"/>
        <v>0</v>
      </c>
      <c r="K51" s="2">
        <v>1</v>
      </c>
      <c r="M51" s="2">
        <v>33</v>
      </c>
      <c r="N51" s="2">
        <f t="shared" si="3"/>
        <v>0</v>
      </c>
      <c r="O51" s="2">
        <v>1</v>
      </c>
    </row>
    <row r="52" spans="1:15" x14ac:dyDescent="0.2">
      <c r="A52" s="2">
        <v>67</v>
      </c>
      <c r="B52" s="2">
        <f t="shared" si="0"/>
        <v>1</v>
      </c>
      <c r="C52" s="2">
        <v>1</v>
      </c>
      <c r="E52" s="2">
        <v>135</v>
      </c>
      <c r="F52" s="2">
        <f t="shared" si="1"/>
        <v>1</v>
      </c>
      <c r="G52" s="2">
        <v>1</v>
      </c>
      <c r="I52" s="2">
        <v>94</v>
      </c>
      <c r="J52" s="2">
        <f t="shared" si="2"/>
        <v>1</v>
      </c>
      <c r="K52" s="2">
        <v>1</v>
      </c>
      <c r="M52" s="2">
        <v>29</v>
      </c>
      <c r="N52" s="2">
        <f t="shared" si="3"/>
        <v>0</v>
      </c>
      <c r="O52" s="2">
        <v>1</v>
      </c>
    </row>
    <row r="53" spans="1:15" x14ac:dyDescent="0.2">
      <c r="A53" s="2">
        <v>55</v>
      </c>
      <c r="B53" s="2">
        <f t="shared" si="0"/>
        <v>0</v>
      </c>
      <c r="C53" s="2">
        <v>0</v>
      </c>
      <c r="E53" s="2">
        <v>123</v>
      </c>
      <c r="F53" s="2">
        <f t="shared" si="1"/>
        <v>0</v>
      </c>
      <c r="G53" s="2">
        <v>0</v>
      </c>
      <c r="I53" s="2">
        <v>85</v>
      </c>
      <c r="J53" s="2">
        <f t="shared" si="2"/>
        <v>0</v>
      </c>
      <c r="K53" s="2">
        <v>0</v>
      </c>
      <c r="M53" s="2">
        <v>30</v>
      </c>
      <c r="N53" s="2">
        <f t="shared" si="3"/>
        <v>0</v>
      </c>
      <c r="O53" s="2">
        <v>0</v>
      </c>
    </row>
    <row r="54" spans="1:15" x14ac:dyDescent="0.2">
      <c r="A54" s="2">
        <v>55</v>
      </c>
      <c r="B54" s="2">
        <f t="shared" si="0"/>
        <v>0</v>
      </c>
      <c r="C54" s="2">
        <v>1</v>
      </c>
      <c r="E54" s="2">
        <v>110</v>
      </c>
      <c r="F54" s="2">
        <f t="shared" si="1"/>
        <v>0</v>
      </c>
      <c r="G54" s="2">
        <v>1</v>
      </c>
      <c r="I54" s="2">
        <v>69</v>
      </c>
      <c r="J54" s="2">
        <f t="shared" si="2"/>
        <v>0</v>
      </c>
      <c r="K54" s="2">
        <v>1</v>
      </c>
      <c r="M54" s="2">
        <v>38</v>
      </c>
      <c r="N54" s="2">
        <f t="shared" si="3"/>
        <v>1</v>
      </c>
      <c r="O54" s="2">
        <v>1</v>
      </c>
    </row>
    <row r="55" spans="1:15" x14ac:dyDescent="0.2">
      <c r="A55" s="2">
        <v>50</v>
      </c>
      <c r="B55" s="2">
        <f t="shared" si="0"/>
        <v>0</v>
      </c>
      <c r="C55" s="2">
        <v>0</v>
      </c>
      <c r="E55" s="2">
        <v>113</v>
      </c>
      <c r="F55" s="2">
        <f t="shared" si="1"/>
        <v>0</v>
      </c>
      <c r="G55" s="2">
        <v>0</v>
      </c>
      <c r="I55" s="2">
        <v>84</v>
      </c>
      <c r="J55" s="2">
        <f t="shared" si="2"/>
        <v>0</v>
      </c>
      <c r="K55" s="2">
        <v>0</v>
      </c>
      <c r="M55" s="2">
        <v>39</v>
      </c>
      <c r="N55" s="2">
        <f t="shared" si="3"/>
        <v>1</v>
      </c>
      <c r="O55" s="2">
        <v>0</v>
      </c>
    </row>
    <row r="56" spans="1:15" x14ac:dyDescent="0.2">
      <c r="A56" s="2">
        <v>60</v>
      </c>
      <c r="B56" s="2">
        <f t="shared" si="0"/>
        <v>1</v>
      </c>
      <c r="C56" s="2">
        <v>1</v>
      </c>
      <c r="E56" s="2">
        <v>137</v>
      </c>
      <c r="F56" s="2">
        <f t="shared" si="1"/>
        <v>1</v>
      </c>
      <c r="G56" s="2">
        <v>1</v>
      </c>
      <c r="I56" s="2">
        <v>64</v>
      </c>
      <c r="J56" s="2">
        <f t="shared" si="2"/>
        <v>0</v>
      </c>
      <c r="K56" s="2">
        <v>1</v>
      </c>
      <c r="M56" s="2">
        <v>39</v>
      </c>
      <c r="N56" s="2">
        <f t="shared" si="3"/>
        <v>1</v>
      </c>
      <c r="O56" s="2">
        <v>1</v>
      </c>
    </row>
    <row r="57" spans="1:15" x14ac:dyDescent="0.2">
      <c r="A57" s="2">
        <v>65</v>
      </c>
      <c r="B57" s="2">
        <f t="shared" si="0"/>
        <v>1</v>
      </c>
      <c r="C57" s="2">
        <v>1</v>
      </c>
      <c r="E57" s="2">
        <v>111</v>
      </c>
      <c r="F57" s="2">
        <f t="shared" si="1"/>
        <v>0</v>
      </c>
      <c r="G57" s="2">
        <v>1</v>
      </c>
      <c r="I57" s="2">
        <v>90</v>
      </c>
      <c r="J57" s="2">
        <f t="shared" si="2"/>
        <v>0</v>
      </c>
      <c r="K57" s="2">
        <v>1</v>
      </c>
      <c r="M57" s="2">
        <v>36</v>
      </c>
      <c r="N57" s="2">
        <f t="shared" si="3"/>
        <v>1</v>
      </c>
      <c r="O57" s="2">
        <v>1</v>
      </c>
    </row>
    <row r="58" spans="1:15" x14ac:dyDescent="0.2">
      <c r="A58" s="2">
        <v>60</v>
      </c>
      <c r="B58" s="2">
        <f t="shared" si="0"/>
        <v>1</v>
      </c>
      <c r="C58" s="2">
        <v>1</v>
      </c>
      <c r="E58" s="2">
        <v>131</v>
      </c>
      <c r="F58" s="2">
        <f t="shared" si="1"/>
        <v>1</v>
      </c>
      <c r="G58" s="2">
        <v>1</v>
      </c>
      <c r="I58" s="2">
        <v>110</v>
      </c>
      <c r="J58" s="2">
        <f t="shared" si="2"/>
        <v>1</v>
      </c>
      <c r="K58" s="2">
        <v>1</v>
      </c>
      <c r="M58" s="2">
        <v>39</v>
      </c>
      <c r="N58" s="2">
        <f t="shared" si="3"/>
        <v>1</v>
      </c>
      <c r="O58" s="2">
        <v>1</v>
      </c>
    </row>
    <row r="59" spans="1:15" x14ac:dyDescent="0.2">
      <c r="A59" s="2">
        <v>57</v>
      </c>
      <c r="B59" s="2">
        <f t="shared" si="0"/>
        <v>0</v>
      </c>
      <c r="C59" s="2">
        <v>1</v>
      </c>
      <c r="E59" s="2">
        <v>156</v>
      </c>
      <c r="F59" s="2">
        <f t="shared" si="1"/>
        <v>1</v>
      </c>
      <c r="G59" s="2">
        <v>1</v>
      </c>
      <c r="I59" s="2">
        <v>113</v>
      </c>
      <c r="J59" s="2">
        <f t="shared" si="2"/>
        <v>1</v>
      </c>
      <c r="K59" s="2">
        <v>1</v>
      </c>
      <c r="M59" s="2">
        <v>38</v>
      </c>
      <c r="N59" s="2">
        <f t="shared" si="3"/>
        <v>1</v>
      </c>
      <c r="O59" s="2">
        <v>1</v>
      </c>
    </row>
    <row r="60" spans="1:15" x14ac:dyDescent="0.2">
      <c r="A60" s="2">
        <v>63</v>
      </c>
      <c r="B60" s="2">
        <f t="shared" si="0"/>
        <v>1</v>
      </c>
      <c r="C60" s="2">
        <v>1</v>
      </c>
      <c r="E60" s="2">
        <v>107</v>
      </c>
      <c r="F60" s="2">
        <f t="shared" si="1"/>
        <v>0</v>
      </c>
      <c r="G60" s="2">
        <v>1</v>
      </c>
      <c r="I60" s="2">
        <v>113</v>
      </c>
      <c r="J60" s="2">
        <f t="shared" si="2"/>
        <v>1</v>
      </c>
      <c r="K60" s="2">
        <v>1</v>
      </c>
      <c r="M60" s="2">
        <v>40</v>
      </c>
      <c r="N60" s="2">
        <f t="shared" si="3"/>
        <v>1</v>
      </c>
      <c r="O60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1343-6B65-A743-92F4-D487CA64F895}">
  <dimension ref="A1"/>
  <sheetViews>
    <sheetView tabSelected="1" zoomScale="83" workbookViewId="0">
      <selection activeCell="J46" sqref="J46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E89F2510D0BC42891B08149660135F" ma:contentTypeVersion="13" ma:contentTypeDescription="Crear nuevo documento." ma:contentTypeScope="" ma:versionID="de07110555bcd519c79fb9559584d4e9">
  <xsd:schema xmlns:xsd="http://www.w3.org/2001/XMLSchema" xmlns:xs="http://www.w3.org/2001/XMLSchema" xmlns:p="http://schemas.microsoft.com/office/2006/metadata/properties" xmlns:ns2="fb23e1f3-10bc-4c65-8867-63bb51db4876" xmlns:ns3="46b772d4-cf21-48c5-a942-c9f34a811402" targetNamespace="http://schemas.microsoft.com/office/2006/metadata/properties" ma:root="true" ma:fieldsID="74fe5e3879639cf8e10b81a5b481af1b" ns2:_="" ns3:_="">
    <xsd:import namespace="fb23e1f3-10bc-4c65-8867-63bb51db4876"/>
    <xsd:import namespace="46b772d4-cf21-48c5-a942-c9f34a8114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3e1f3-10bc-4c65-8867-63bb51db4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772d4-cf21-48c5-a942-c9f34a81140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b235337-97c0-48a6-9d26-52c223a00d9c}" ma:internalName="TaxCatchAll" ma:showField="CatchAllData" ma:web="46b772d4-cf21-48c5-a942-c9f34a8114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b772d4-cf21-48c5-a942-c9f34a811402" xsi:nil="true"/>
    <lcf76f155ced4ddcb4097134ff3c332f xmlns="fb23e1f3-10bc-4c65-8867-63bb51db487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AB8A09-75F3-4B3C-A5FE-56FEB1910F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23e1f3-10bc-4c65-8867-63bb51db4876"/>
    <ds:schemaRef ds:uri="46b772d4-cf21-48c5-a942-c9f34a8114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172387-151E-42A6-86CF-C0D25FDEE54A}">
  <ds:schemaRefs>
    <ds:schemaRef ds:uri="http://schemas.microsoft.com/office/2006/metadata/properties"/>
    <ds:schemaRef ds:uri="http://schemas.microsoft.com/office/infopath/2007/PartnerControls"/>
    <ds:schemaRef ds:uri="46b772d4-cf21-48c5-a942-c9f34a811402"/>
    <ds:schemaRef ds:uri="fb23e1f3-10bc-4c65-8867-63bb51db4876"/>
  </ds:schemaRefs>
</ds:datastoreItem>
</file>

<file path=customXml/itemProps3.xml><?xml version="1.0" encoding="utf-8"?>
<ds:datastoreItem xmlns:ds="http://schemas.openxmlformats.org/officeDocument/2006/customXml" ds:itemID="{509CD4E5-3C90-4707-ADFA-4538D79D75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Base Datos Heart</vt:lpstr>
      <vt:lpstr>Datos Pronóstico</vt:lpstr>
      <vt:lpstr>Nodo Raiz</vt:lpstr>
      <vt:lpstr>LD - N2</vt:lpstr>
      <vt:lpstr>LD - N3</vt:lpstr>
      <vt:lpstr>Arbol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Alejandro Peña Palacio</dc:creator>
  <cp:lastModifiedBy>Sara Duque Jaramillo</cp:lastModifiedBy>
  <dcterms:created xsi:type="dcterms:W3CDTF">2026-02-09T20:48:21Z</dcterms:created>
  <dcterms:modified xsi:type="dcterms:W3CDTF">2026-02-20T01:35:16Z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0x010100D8E89F2510D0BC42891B08149660135F</vt:lpwstr>
  </property>
</Properties>
</file>